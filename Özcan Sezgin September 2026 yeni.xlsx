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Objects="placeholders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Ozcan\Desktop\Sinzig\Sinzig\2026\"/>
    </mc:Choice>
  </mc:AlternateContent>
  <xr:revisionPtr revIDLastSave="0" documentId="13_ncr:1_{1EE68DAC-5819-4CB0-8F4F-2085AA162D10}" xr6:coauthVersionLast="47" xr6:coauthVersionMax="47" xr10:uidLastSave="{00000000-0000-0000-0000-000000000000}"/>
  <bookViews>
    <workbookView xWindow="9030" yWindow="735" windowWidth="31860" windowHeight="17490" activeTab="1" xr2:uid="{00000000-000D-0000-FFFF-FFFF00000000}"/>
  </bookViews>
  <sheets>
    <sheet name="09.September Anlage" sheetId="36" r:id="rId1"/>
    <sheet name="09.September Lohn" sheetId="35" r:id="rId2"/>
    <sheet name="09.September Auslöse" sheetId="62" r:id="rId3"/>
  </sheets>
  <definedNames>
    <definedName name="_xlnm.Print_Area" localSheetId="2">'09.September Auslöse'!$B$2:$M$43,'09.September Auslöse'!#REF!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35" l="1"/>
  <c r="A38" i="35"/>
  <c r="J9" i="35"/>
  <c r="K9" i="35" s="1"/>
  <c r="J10" i="35"/>
  <c r="K10" i="35" s="1"/>
  <c r="J11" i="35"/>
  <c r="K11" i="35" s="1"/>
  <c r="J12" i="35"/>
  <c r="K12" i="35" s="1"/>
  <c r="J13" i="35"/>
  <c r="K13" i="35" s="1"/>
  <c r="J14" i="35"/>
  <c r="K14" i="35" s="1"/>
  <c r="J15" i="35"/>
  <c r="K15" i="35" s="1"/>
  <c r="J16" i="35"/>
  <c r="K16" i="35" s="1"/>
  <c r="J17" i="35"/>
  <c r="K17" i="35" s="1"/>
  <c r="J18" i="35"/>
  <c r="K18" i="35" s="1"/>
  <c r="J19" i="35"/>
  <c r="K19" i="35" s="1"/>
  <c r="J20" i="35"/>
  <c r="K20" i="35" s="1"/>
  <c r="J21" i="35"/>
  <c r="O21" i="35" s="1"/>
  <c r="J22" i="35"/>
  <c r="K22" i="35" s="1"/>
  <c r="J23" i="35"/>
  <c r="K23" i="35" s="1"/>
  <c r="J24" i="35"/>
  <c r="K24" i="35" s="1"/>
  <c r="J25" i="35"/>
  <c r="K25" i="35" s="1"/>
  <c r="J26" i="35"/>
  <c r="K26" i="35" s="1"/>
  <c r="J27" i="35"/>
  <c r="O27" i="35" s="1"/>
  <c r="J28" i="35"/>
  <c r="K28" i="35" s="1"/>
  <c r="J29" i="35"/>
  <c r="K29" i="35" s="1"/>
  <c r="J30" i="35"/>
  <c r="K30" i="35" s="1"/>
  <c r="J31" i="35"/>
  <c r="K31" i="35" s="1"/>
  <c r="J32" i="35"/>
  <c r="K32" i="35" s="1"/>
  <c r="J33" i="35"/>
  <c r="K33" i="35" s="1"/>
  <c r="J34" i="35"/>
  <c r="K34" i="35" s="1"/>
  <c r="J35" i="35"/>
  <c r="K35" i="35" s="1"/>
  <c r="J36" i="35"/>
  <c r="K36" i="35" s="1"/>
  <c r="J37" i="35"/>
  <c r="K37" i="35" s="1"/>
  <c r="J38" i="35"/>
  <c r="K38" i="35" s="1"/>
  <c r="J8" i="35"/>
  <c r="K8" i="35" s="1"/>
  <c r="O22" i="35" l="1"/>
  <c r="O23" i="35"/>
  <c r="K27" i="35"/>
  <c r="O17" i="35"/>
  <c r="K21" i="35"/>
  <c r="O18" i="35"/>
  <c r="O16" i="35"/>
  <c r="O31" i="35"/>
  <c r="O30" i="35"/>
  <c r="O29" i="35"/>
  <c r="O28" i="35"/>
  <c r="O26" i="35"/>
  <c r="O25" i="35"/>
  <c r="O24" i="35"/>
  <c r="O14" i="35"/>
  <c r="O15" i="35"/>
  <c r="O13" i="35"/>
  <c r="O12" i="35"/>
  <c r="O11" i="35"/>
  <c r="O19" i="35"/>
  <c r="O20" i="35"/>
  <c r="O10" i="35"/>
  <c r="O9" i="35"/>
  <c r="C21" i="35"/>
  <c r="L6" i="35"/>
  <c r="M6" i="35"/>
  <c r="C38" i="36" l="1"/>
  <c r="I5" i="62"/>
  <c r="B11" i="62"/>
  <c r="B12" i="62"/>
  <c r="B34" i="62"/>
  <c r="B35" i="62"/>
  <c r="B36" i="62"/>
  <c r="B37" i="62"/>
  <c r="B38" i="62"/>
  <c r="B39" i="62"/>
  <c r="B40" i="62"/>
  <c r="B10" i="62"/>
  <c r="M39" i="35"/>
  <c r="L39" i="35" s="1"/>
  <c r="M40" i="35" l="1"/>
  <c r="H36" i="62"/>
  <c r="L36" i="62" s="1"/>
  <c r="H35" i="62"/>
  <c r="L35" i="62" s="1"/>
  <c r="H34" i="62"/>
  <c r="L34" i="62" s="1"/>
  <c r="H30" i="62"/>
  <c r="L30" i="62" s="1"/>
  <c r="H26" i="62"/>
  <c r="L26" i="62" s="1"/>
  <c r="H21" i="62"/>
  <c r="K21" i="62" s="1"/>
  <c r="H20" i="62"/>
  <c r="L20" i="62" s="1"/>
  <c r="H19" i="62"/>
  <c r="L19" i="62" s="1"/>
  <c r="H11" i="62"/>
  <c r="K11" i="62" s="1"/>
  <c r="L11" i="62" l="1"/>
  <c r="L21" i="62"/>
  <c r="I36" i="62"/>
  <c r="I11" i="62"/>
  <c r="I21" i="62"/>
  <c r="I26" i="62"/>
  <c r="H31" i="62"/>
  <c r="H16" i="62"/>
  <c r="L16" i="62" s="1"/>
  <c r="K26" i="62"/>
  <c r="K36" i="62"/>
  <c r="H39" i="62"/>
  <c r="K19" i="62"/>
  <c r="K34" i="62"/>
  <c r="H12" i="62"/>
  <c r="L12" i="62" s="1"/>
  <c r="H14" i="62"/>
  <c r="I19" i="62"/>
  <c r="I34" i="62"/>
  <c r="H17" i="62"/>
  <c r="L17" i="62" s="1"/>
  <c r="H22" i="62"/>
  <c r="L22" i="62" s="1"/>
  <c r="H10" i="62"/>
  <c r="I10" i="62" s="1"/>
  <c r="H15" i="62"/>
  <c r="H25" i="62"/>
  <c r="L25" i="62" s="1"/>
  <c r="H40" i="62"/>
  <c r="L40" i="62" s="1"/>
  <c r="I20" i="62"/>
  <c r="I30" i="62"/>
  <c r="I35" i="62"/>
  <c r="K20" i="62"/>
  <c r="K30" i="62"/>
  <c r="K35" i="62"/>
  <c r="H13" i="62"/>
  <c r="H27" i="62"/>
  <c r="L27" i="62" s="1"/>
  <c r="H32" i="62"/>
  <c r="H24" i="62"/>
  <c r="L24" i="62" s="1"/>
  <c r="H29" i="62"/>
  <c r="L29" i="62" s="1"/>
  <c r="H37" i="62"/>
  <c r="H18" i="62"/>
  <c r="L18" i="62" s="1"/>
  <c r="H23" i="62"/>
  <c r="L23" i="62" s="1"/>
  <c r="H28" i="62"/>
  <c r="L28" i="62" s="1"/>
  <c r="H33" i="62"/>
  <c r="L33" i="62" s="1"/>
  <c r="H38" i="62"/>
  <c r="L38" i="62" s="1"/>
  <c r="C36" i="36"/>
  <c r="K39" i="62" l="1"/>
  <c r="L39" i="62"/>
  <c r="K37" i="62"/>
  <c r="L37" i="62"/>
  <c r="K15" i="62"/>
  <c r="L15" i="62"/>
  <c r="K31" i="62"/>
  <c r="L31" i="62"/>
  <c r="K32" i="62"/>
  <c r="L32" i="62"/>
  <c r="K13" i="62"/>
  <c r="L13" i="62"/>
  <c r="L42" i="62" s="1"/>
  <c r="K14" i="62"/>
  <c r="L14" i="62"/>
  <c r="I40" i="62"/>
  <c r="I25" i="62"/>
  <c r="K24" i="62"/>
  <c r="I24" i="62"/>
  <c r="I23" i="62"/>
  <c r="I18" i="62"/>
  <c r="I15" i="62"/>
  <c r="I14" i="62"/>
  <c r="I37" i="62"/>
  <c r="I39" i="62"/>
  <c r="I32" i="62"/>
  <c r="I33" i="62"/>
  <c r="I31" i="62"/>
  <c r="K29" i="62"/>
  <c r="I29" i="62"/>
  <c r="K16" i="62"/>
  <c r="I16" i="62"/>
  <c r="I38" i="62"/>
  <c r="I28" i="62"/>
  <c r="I13" i="62"/>
  <c r="I12" i="62"/>
  <c r="K22" i="62"/>
  <c r="I27" i="62"/>
  <c r="I22" i="62"/>
  <c r="I17" i="62"/>
  <c r="L10" i="62"/>
  <c r="K12" i="62"/>
  <c r="K28" i="62"/>
  <c r="K10" i="62"/>
  <c r="P14" i="62"/>
  <c r="K25" i="62"/>
  <c r="K17" i="62"/>
  <c r="K40" i="62"/>
  <c r="K38" i="62"/>
  <c r="K27" i="62"/>
  <c r="K18" i="62"/>
  <c r="K33" i="62"/>
  <c r="K23" i="62"/>
  <c r="K42" i="62" l="1"/>
  <c r="I42" i="62"/>
  <c r="C12" i="36"/>
  <c r="N39" i="35"/>
  <c r="S39" i="35"/>
  <c r="Q6" i="35"/>
  <c r="N6" i="35"/>
  <c r="S40" i="35" l="1"/>
  <c r="C24" i="36" s="1"/>
  <c r="N40" i="35"/>
  <c r="C20" i="36" s="1"/>
  <c r="O32" i="35"/>
  <c r="O33" i="35"/>
  <c r="O34" i="35"/>
  <c r="O35" i="35"/>
  <c r="O37" i="35"/>
  <c r="O38" i="35" l="1"/>
  <c r="O36" i="35"/>
  <c r="O8" i="35" l="1"/>
  <c r="BW39" i="35"/>
  <c r="W39" i="35"/>
  <c r="W40" i="35" s="1"/>
  <c r="G24" i="36" s="1"/>
  <c r="V39" i="35"/>
  <c r="V40" i="35" s="1"/>
  <c r="G22" i="36" s="1"/>
  <c r="U39" i="35"/>
  <c r="T39" i="35"/>
  <c r="BV38" i="35"/>
  <c r="BW38" i="35"/>
  <c r="Q38" i="35" s="1"/>
  <c r="C38" i="35"/>
  <c r="BV37" i="35"/>
  <c r="BW37" i="35"/>
  <c r="C37" i="35"/>
  <c r="BV36" i="35"/>
  <c r="BW36" i="35"/>
  <c r="C36" i="35"/>
  <c r="BV35" i="35"/>
  <c r="BW35" i="35"/>
  <c r="C35" i="35"/>
  <c r="BV34" i="35"/>
  <c r="BW34" i="35"/>
  <c r="C34" i="35"/>
  <c r="BV33" i="35"/>
  <c r="BW33" i="35"/>
  <c r="C33" i="35"/>
  <c r="BV32" i="35"/>
  <c r="BW32" i="35"/>
  <c r="C32" i="35"/>
  <c r="BV31" i="35"/>
  <c r="BW31" i="35"/>
  <c r="C31" i="35"/>
  <c r="BV30" i="35"/>
  <c r="BW30" i="35"/>
  <c r="C30" i="35"/>
  <c r="BV29" i="35"/>
  <c r="BW29" i="35"/>
  <c r="C29" i="35"/>
  <c r="BV28" i="35"/>
  <c r="BW28" i="35"/>
  <c r="C28" i="35"/>
  <c r="BV27" i="35"/>
  <c r="BW27" i="35"/>
  <c r="C27" i="35"/>
  <c r="BV26" i="35"/>
  <c r="BW26" i="35"/>
  <c r="C26" i="35"/>
  <c r="BV25" i="35"/>
  <c r="BW25" i="35"/>
  <c r="C25" i="35"/>
  <c r="BV24" i="35"/>
  <c r="BW24" i="35"/>
  <c r="C24" i="35"/>
  <c r="BV23" i="35"/>
  <c r="BW23" i="35"/>
  <c r="C23" i="35"/>
  <c r="BV22" i="35"/>
  <c r="BW22" i="35"/>
  <c r="C22" i="35"/>
  <c r="BV21" i="35"/>
  <c r="BW21" i="35"/>
  <c r="BV20" i="35"/>
  <c r="BW20" i="35"/>
  <c r="C20" i="35"/>
  <c r="BV19" i="35"/>
  <c r="BW19" i="35"/>
  <c r="C19" i="35"/>
  <c r="BV18" i="35"/>
  <c r="BW18" i="35"/>
  <c r="C18" i="35"/>
  <c r="BV17" i="35"/>
  <c r="BW17" i="35"/>
  <c r="C17" i="35"/>
  <c r="BV16" i="35"/>
  <c r="BW16" i="35"/>
  <c r="C16" i="35"/>
  <c r="BV15" i="35"/>
  <c r="BW15" i="35"/>
  <c r="C15" i="35"/>
  <c r="BV14" i="35"/>
  <c r="C14" i="35"/>
  <c r="BV13" i="35"/>
  <c r="BW13" i="35"/>
  <c r="C13" i="35"/>
  <c r="BV12" i="35"/>
  <c r="BW12" i="35"/>
  <c r="C12" i="35"/>
  <c r="BV11" i="35"/>
  <c r="BW11" i="35"/>
  <c r="C11" i="35"/>
  <c r="BV10" i="35"/>
  <c r="BW10" i="35"/>
  <c r="C10" i="35"/>
  <c r="BV9" i="35"/>
  <c r="BW9" i="35"/>
  <c r="C9" i="35"/>
  <c r="BV8" i="35"/>
  <c r="BW8" i="35"/>
  <c r="C8" i="35"/>
  <c r="R6" i="35"/>
  <c r="P6" i="35"/>
  <c r="O6" i="35"/>
  <c r="I4" i="35"/>
  <c r="B8" i="35" s="1"/>
  <c r="C10" i="62" l="1"/>
  <c r="BW14" i="35"/>
  <c r="C16" i="36"/>
  <c r="T40" i="35"/>
  <c r="C22" i="36" s="1"/>
  <c r="U40" i="35"/>
  <c r="G20" i="36" s="1"/>
  <c r="BX8" i="35"/>
  <c r="A8" i="35"/>
  <c r="B9" i="35"/>
  <c r="A9" i="35" s="1"/>
  <c r="C11" i="62" l="1"/>
  <c r="X8" i="35"/>
  <c r="K39" i="35"/>
  <c r="O39" i="35"/>
  <c r="O40" i="35" s="1"/>
  <c r="C18" i="36" s="1"/>
  <c r="B10" i="35"/>
  <c r="BX9" i="35"/>
  <c r="Q9" i="35" l="1"/>
  <c r="A10" i="35"/>
  <c r="Q8" i="35"/>
  <c r="X9" i="35"/>
  <c r="C12" i="62"/>
  <c r="P9" i="35"/>
  <c r="K40" i="35"/>
  <c r="C14" i="36" s="1"/>
  <c r="R8" i="35"/>
  <c r="P8" i="35"/>
  <c r="B11" i="35"/>
  <c r="BX10" i="35"/>
  <c r="Q10" i="35" l="1"/>
  <c r="A11" i="35"/>
  <c r="R9" i="35"/>
  <c r="C13" i="62"/>
  <c r="P10" i="35"/>
  <c r="X10" i="35"/>
  <c r="BX11" i="35"/>
  <c r="B12" i="35"/>
  <c r="Q11" i="35" l="1"/>
  <c r="A12" i="35"/>
  <c r="R10" i="35"/>
  <c r="X11" i="35"/>
  <c r="C14" i="62"/>
  <c r="BX12" i="35"/>
  <c r="P11" i="35" s="1"/>
  <c r="B13" i="35"/>
  <c r="Q12" i="35" l="1"/>
  <c r="A13" i="35"/>
  <c r="R11" i="35"/>
  <c r="C15" i="62"/>
  <c r="P12" i="35"/>
  <c r="X12" i="35"/>
  <c r="B14" i="35"/>
  <c r="BX13" i="35"/>
  <c r="Q13" i="35" l="1"/>
  <c r="A14" i="35"/>
  <c r="R12" i="35"/>
  <c r="C16" i="62"/>
  <c r="P13" i="35"/>
  <c r="X13" i="35"/>
  <c r="B15" i="35"/>
  <c r="BX14" i="35"/>
  <c r="A15" i="35" l="1"/>
  <c r="R13" i="35"/>
  <c r="X14" i="35"/>
  <c r="C17" i="62"/>
  <c r="P14" i="35"/>
  <c r="BX15" i="35"/>
  <c r="Q14" i="35" s="1"/>
  <c r="B16" i="35"/>
  <c r="Q15" i="35" l="1"/>
  <c r="A16" i="35"/>
  <c r="R14" i="35"/>
  <c r="C18" i="62"/>
  <c r="P15" i="35"/>
  <c r="X15" i="35"/>
  <c r="BX16" i="35"/>
  <c r="B17" i="35"/>
  <c r="Q16" i="35" l="1"/>
  <c r="A17" i="35"/>
  <c r="R15" i="35"/>
  <c r="C19" i="62"/>
  <c r="P16" i="35"/>
  <c r="X16" i="35"/>
  <c r="B18" i="35"/>
  <c r="BX17" i="35"/>
  <c r="A18" i="35" l="1"/>
  <c r="R16" i="35"/>
  <c r="X17" i="35"/>
  <c r="C20" i="62"/>
  <c r="P17" i="35"/>
  <c r="B19" i="35"/>
  <c r="BX18" i="35"/>
  <c r="Q17" i="35" s="1"/>
  <c r="Q18" i="35" l="1"/>
  <c r="A19" i="35"/>
  <c r="R17" i="35"/>
  <c r="C21" i="62"/>
  <c r="X18" i="35"/>
  <c r="BX19" i="35"/>
  <c r="P18" i="35" s="1"/>
  <c r="B20" i="35"/>
  <c r="A20" i="35" l="1"/>
  <c r="R18" i="35"/>
  <c r="B21" i="35"/>
  <c r="C22" i="62"/>
  <c r="P19" i="35"/>
  <c r="X19" i="35"/>
  <c r="BX20" i="35"/>
  <c r="Q19" i="35" s="1"/>
  <c r="Q20" i="35" l="1"/>
  <c r="A21" i="35"/>
  <c r="R19" i="35"/>
  <c r="C23" i="62"/>
  <c r="P20" i="35"/>
  <c r="X20" i="35"/>
  <c r="B22" i="35"/>
  <c r="BX21" i="35"/>
  <c r="Q21" i="35" l="1"/>
  <c r="A22" i="35"/>
  <c r="R20" i="35"/>
  <c r="X21" i="35"/>
  <c r="C24" i="62"/>
  <c r="P21" i="35"/>
  <c r="B23" i="35"/>
  <c r="BX22" i="35"/>
  <c r="Q22" i="35" l="1"/>
  <c r="A23" i="35"/>
  <c r="R21" i="35"/>
  <c r="C25" i="62"/>
  <c r="X22" i="35"/>
  <c r="BX23" i="35"/>
  <c r="B24" i="35"/>
  <c r="Q23" i="35" l="1"/>
  <c r="A24" i="35"/>
  <c r="P22" i="35"/>
  <c r="R22" i="35"/>
  <c r="C26" i="62"/>
  <c r="X23" i="35"/>
  <c r="BX24" i="35"/>
  <c r="R23" i="35" s="1"/>
  <c r="B25" i="35"/>
  <c r="P23" i="35" l="1"/>
  <c r="A25" i="35"/>
  <c r="C27" i="62"/>
  <c r="P24" i="35"/>
  <c r="X24" i="35"/>
  <c r="B26" i="35"/>
  <c r="BX25" i="35"/>
  <c r="Q24" i="35" s="1"/>
  <c r="Q25" i="35" l="1"/>
  <c r="A26" i="35"/>
  <c r="R24" i="35"/>
  <c r="X25" i="35"/>
  <c r="C28" i="62"/>
  <c r="P25" i="35"/>
  <c r="B27" i="35"/>
  <c r="BX26" i="35"/>
  <c r="A27" i="35" l="1"/>
  <c r="R25" i="35"/>
  <c r="C29" i="62"/>
  <c r="P26" i="35"/>
  <c r="X26" i="35"/>
  <c r="BX27" i="35"/>
  <c r="Q26" i="35" s="1"/>
  <c r="B28" i="35"/>
  <c r="Q27" i="35" l="1"/>
  <c r="A28" i="35"/>
  <c r="R26" i="35"/>
  <c r="C30" i="62"/>
  <c r="P27" i="35"/>
  <c r="X27" i="35"/>
  <c r="BX28" i="35"/>
  <c r="B29" i="35"/>
  <c r="Q28" i="35" l="1"/>
  <c r="A29" i="35"/>
  <c r="R27" i="35"/>
  <c r="X28" i="35"/>
  <c r="C31" i="62"/>
  <c r="P28" i="35"/>
  <c r="B30" i="35"/>
  <c r="A30" i="35" s="1"/>
  <c r="BX29" i="35"/>
  <c r="R28" i="35" l="1"/>
  <c r="C32" i="62"/>
  <c r="P29" i="35"/>
  <c r="X29" i="35"/>
  <c r="B31" i="35"/>
  <c r="BX30" i="35"/>
  <c r="Q29" i="35" s="1"/>
  <c r="Q30" i="35" l="1"/>
  <c r="A31" i="35"/>
  <c r="R29" i="35"/>
  <c r="X30" i="35"/>
  <c r="C33" i="62"/>
  <c r="P30" i="35"/>
  <c r="BX31" i="35"/>
  <c r="B32" i="35"/>
  <c r="A32" i="35" l="1"/>
  <c r="R30" i="35"/>
  <c r="C34" i="62"/>
  <c r="P31" i="35"/>
  <c r="X31" i="35"/>
  <c r="BX32" i="35"/>
  <c r="Q31" i="35" s="1"/>
  <c r="B33" i="35"/>
  <c r="Q32" i="35" l="1"/>
  <c r="A33" i="35"/>
  <c r="R31" i="35"/>
  <c r="C35" i="62"/>
  <c r="P32" i="35"/>
  <c r="X32" i="35"/>
  <c r="B34" i="35"/>
  <c r="BX33" i="35"/>
  <c r="Q33" i="35" l="1"/>
  <c r="A34" i="35"/>
  <c r="R32" i="35"/>
  <c r="X33" i="35"/>
  <c r="C36" i="62"/>
  <c r="P33" i="35"/>
  <c r="B35" i="35"/>
  <c r="BX34" i="35"/>
  <c r="Q34" i="35" l="1"/>
  <c r="A35" i="35"/>
  <c r="R33" i="35"/>
  <c r="C37" i="62"/>
  <c r="P34" i="35"/>
  <c r="BX35" i="35"/>
  <c r="BY36" i="35"/>
  <c r="B36" i="35"/>
  <c r="Q35" i="35" l="1"/>
  <c r="A36" i="35"/>
  <c r="R34" i="35"/>
  <c r="C38" i="62"/>
  <c r="X35" i="35"/>
  <c r="BX36" i="35"/>
  <c r="P35" i="35" s="1"/>
  <c r="BY37" i="35"/>
  <c r="B37" i="35"/>
  <c r="A37" i="35" s="1"/>
  <c r="X40" i="35" s="1"/>
  <c r="R35" i="35" l="1"/>
  <c r="X36" i="35"/>
  <c r="C39" i="62"/>
  <c r="P36" i="35"/>
  <c r="BX37" i="35"/>
  <c r="Q36" i="35" s="1"/>
  <c r="Q37" i="35"/>
  <c r="BY38" i="35"/>
  <c r="R36" i="35" l="1"/>
  <c r="X37" i="35"/>
  <c r="P37" i="35"/>
  <c r="C40" i="62"/>
  <c r="P38" i="35"/>
  <c r="BX38" i="35"/>
  <c r="X44" i="35"/>
  <c r="BY39" i="35"/>
  <c r="X38" i="35" l="1"/>
  <c r="X39" i="35" s="1"/>
  <c r="X42" i="35" s="1"/>
  <c r="X43" i="35" s="1"/>
  <c r="R38" i="35"/>
  <c r="R37" i="35"/>
  <c r="P39" i="35"/>
  <c r="P40" i="35" s="1"/>
  <c r="E18" i="36" s="1"/>
  <c r="Q39" i="35"/>
  <c r="Q40" i="35" s="1"/>
  <c r="G18" i="36" s="1"/>
  <c r="R39" i="35" l="1"/>
  <c r="R40" i="35" s="1"/>
  <c r="C26" i="36" s="1"/>
</calcChain>
</file>

<file path=xl/sharedStrings.xml><?xml version="1.0" encoding="utf-8"?>
<sst xmlns="http://schemas.openxmlformats.org/spreadsheetml/2006/main" count="333" uniqueCount="129">
  <si>
    <t>Baustelle</t>
  </si>
  <si>
    <t xml:space="preserve"> inzig Schweißtechnik GmbH</t>
  </si>
  <si>
    <t>Tag</t>
  </si>
  <si>
    <t>Arb.std.</t>
  </si>
  <si>
    <t>Fei.%</t>
  </si>
  <si>
    <t xml:space="preserve"> </t>
  </si>
  <si>
    <t>Zulage SRE/SRZ</t>
  </si>
  <si>
    <t>Zulage SKS</t>
  </si>
  <si>
    <t>Höhenzu- lage</t>
  </si>
  <si>
    <t>Zulage SKV</t>
  </si>
  <si>
    <t>Dokumentation der Arbeitszeit</t>
  </si>
  <si>
    <t>:</t>
  </si>
  <si>
    <t>Arbeitszeit            Von    Bis</t>
  </si>
  <si>
    <t>Arbeits std.</t>
  </si>
  <si>
    <t>Feiertage</t>
  </si>
  <si>
    <t>Neujahr</t>
  </si>
  <si>
    <t>Karfreitag</t>
  </si>
  <si>
    <t>Ostersonntag</t>
  </si>
  <si>
    <t>Ostermontag</t>
  </si>
  <si>
    <t>Tag der Arbeit</t>
  </si>
  <si>
    <t>Christi Himmelfahrt</t>
  </si>
  <si>
    <t>Pfingstsonntag</t>
  </si>
  <si>
    <t>Pfingstmontag</t>
  </si>
  <si>
    <t>Fronleichnam</t>
  </si>
  <si>
    <t>Tag der Deutschen Einheit</t>
  </si>
  <si>
    <t>Allerheiligen</t>
  </si>
  <si>
    <t>1. Weihnachtsfeiertag</t>
  </si>
  <si>
    <t>2. Weihnachtsfeiertag</t>
  </si>
  <si>
    <t>Urlaub = 8 std.</t>
  </si>
  <si>
    <t>AZK = 8 std.</t>
  </si>
  <si>
    <t>Krank = 8 Std.</t>
  </si>
  <si>
    <t>Hinweise</t>
  </si>
  <si>
    <t>Urlaub 50% = 4 Std. (halber Tag)</t>
  </si>
  <si>
    <t>AZK 50% = 4 std. (halber Tag)                 Ausfall = 6 std. (Schichtausfall)</t>
  </si>
  <si>
    <t>September</t>
  </si>
  <si>
    <t>Monat:</t>
  </si>
  <si>
    <t>Name:</t>
  </si>
  <si>
    <t>inzig Schweißtechnik GmbH</t>
  </si>
  <si>
    <t>Steuerfreie Auslöse:</t>
  </si>
  <si>
    <t>VL Betrag:</t>
  </si>
  <si>
    <t>Std. Lohn:</t>
  </si>
  <si>
    <t>BAV Betrag:</t>
  </si>
  <si>
    <t>Fahr.Std.:</t>
  </si>
  <si>
    <t>Nacht:</t>
  </si>
  <si>
    <t>Samstag:</t>
  </si>
  <si>
    <t>Feiertag:</t>
  </si>
  <si>
    <t>Telefon-Gutschrift:</t>
  </si>
  <si>
    <t>Telefon-Abzug:</t>
  </si>
  <si>
    <t>Vorschuss Bank:</t>
  </si>
  <si>
    <t xml:space="preserve">Vorschuss Bar:  </t>
  </si>
  <si>
    <t>AZK:</t>
  </si>
  <si>
    <t>Korrektur Vormonat:</t>
  </si>
  <si>
    <t>Krank:</t>
  </si>
  <si>
    <t>Mängelbeseitigung:</t>
  </si>
  <si>
    <t>Sonstiges:</t>
  </si>
  <si>
    <t>Pause</t>
  </si>
  <si>
    <t>Vertragsnummer:</t>
  </si>
  <si>
    <t>-</t>
  </si>
  <si>
    <t>Urlaub:</t>
  </si>
  <si>
    <t>Zulage SoW5</t>
  </si>
  <si>
    <t>WBZ</t>
  </si>
  <si>
    <t>Überstunden (gesamt)</t>
  </si>
  <si>
    <t>Überstunden (nur Arbeitsstunden)</t>
  </si>
  <si>
    <t>Stunden gesamt (Farhstunden, WBZ, Arbeitsstunden, Urlaub, Krank, Feiertag)</t>
  </si>
  <si>
    <t>Sonntag 75%:</t>
  </si>
  <si>
    <t xml:space="preserve">WBZ Std.: </t>
  </si>
  <si>
    <t>Z SKV:</t>
  </si>
  <si>
    <t>Z SoW 5:</t>
  </si>
  <si>
    <t>Darlehen:</t>
  </si>
  <si>
    <t>Tage</t>
  </si>
  <si>
    <t xml:space="preserve">Vorname: </t>
  </si>
  <si>
    <t>ab/an Wohnort</t>
  </si>
  <si>
    <t>Land D/NL    LU</t>
  </si>
  <si>
    <t>Datum</t>
  </si>
  <si>
    <t>Auftraggeber</t>
  </si>
  <si>
    <t>Uhrzeit Abfahrt</t>
  </si>
  <si>
    <t>Uhrzeit Ankunft</t>
  </si>
  <si>
    <t>Abwesenheit Std. v. z. Hause</t>
  </si>
  <si>
    <t>Auslösung Insgesamt</t>
  </si>
  <si>
    <t>Auslösung Übernachtung</t>
  </si>
  <si>
    <t>Steuerfreie Auslösung</t>
  </si>
  <si>
    <t>Pauschalver-steuerte</t>
  </si>
  <si>
    <t>Unterschrift:</t>
  </si>
  <si>
    <t>Gesamt:</t>
  </si>
  <si>
    <t>Land</t>
  </si>
  <si>
    <t>Nr.</t>
  </si>
  <si>
    <t>KM/FZ</t>
  </si>
  <si>
    <t>NL/LUX</t>
  </si>
  <si>
    <t xml:space="preserve">Keine Fahrzeit für AVI-Schichten! </t>
  </si>
  <si>
    <r>
      <rPr>
        <b/>
        <sz val="10"/>
        <rFont val="Arial"/>
        <family val="2"/>
      </rPr>
      <t>Für Deutsche Bahn Schichten gibt es keine Fahrzeit.</t>
    </r>
    <r>
      <rPr>
        <sz val="10"/>
        <rFont val="Arial"/>
        <family val="2"/>
      </rPr>
      <t xml:space="preserve"> Ausnahme nach Frankfurt oder Mainz 2 Std. hin und 2 Std. zurück</t>
    </r>
  </si>
  <si>
    <t>Na.25%</t>
  </si>
  <si>
    <t>Sa.25%ÜZ</t>
  </si>
  <si>
    <t>So75%</t>
  </si>
  <si>
    <r>
      <rPr>
        <b/>
        <sz val="10"/>
        <rFont val="Arial"/>
        <family val="2"/>
      </rPr>
      <t xml:space="preserve">Spalte NL/LUX </t>
    </r>
    <r>
      <rPr>
        <sz val="10"/>
        <rFont val="Arial"/>
        <family val="2"/>
      </rPr>
      <t>Niederlande und Luxembourg jeweils 3 Std. hin und 3 Stunden zurück</t>
    </r>
  </si>
  <si>
    <r>
      <rPr>
        <b/>
        <sz val="10"/>
        <rFont val="Arial"/>
        <family val="2"/>
      </rPr>
      <t>Spalte KM/FZ</t>
    </r>
    <r>
      <rPr>
        <sz val="10"/>
        <rFont val="Arial"/>
        <family val="2"/>
      </rPr>
      <t xml:space="preserve"> Projekte Kilometerangabe ab Krablerstraße 45,  45326 Essen</t>
    </r>
  </si>
  <si>
    <t>DE</t>
  </si>
  <si>
    <t>bis 8 Std</t>
  </si>
  <si>
    <t xml:space="preserve">ab 8 Std </t>
  </si>
  <si>
    <t xml:space="preserve">ab 14 Std </t>
  </si>
  <si>
    <t xml:space="preserve">ab 24 Std </t>
  </si>
  <si>
    <t xml:space="preserve">bis 23 Std </t>
  </si>
  <si>
    <t xml:space="preserve">Name: </t>
  </si>
  <si>
    <t>Fahrer</t>
  </si>
  <si>
    <t>Özcan Sezgin</t>
  </si>
  <si>
    <t>Özcan</t>
  </si>
  <si>
    <t>Sezgin</t>
  </si>
  <si>
    <t>Hoffnungsthal</t>
  </si>
  <si>
    <t>Unkel</t>
  </si>
  <si>
    <t>Wiesau</t>
  </si>
  <si>
    <t>Kassel</t>
  </si>
  <si>
    <t>Luxemburg</t>
  </si>
  <si>
    <t>Hannover</t>
  </si>
  <si>
    <t>Fahrer Privat Auto</t>
  </si>
  <si>
    <t>An-Abfarth</t>
  </si>
  <si>
    <t>Anfarth</t>
  </si>
  <si>
    <t>Abfarth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</si>
  <si>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</si>
  <si>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</si>
  <si>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</si>
  <si>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</si>
  <si>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</si>
  <si>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</si>
  <si>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</si>
  <si>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</si>
  <si>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Oktober</t>
  </si>
  <si>
    <t>November</t>
  </si>
  <si>
    <t>Dezember</t>
  </si>
  <si>
    <t>d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</si>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</sst>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\ [$€-1]_-;\-* #,##0.00\ [$€-1]_-;_-* &quot;-&quot;??\ [$€-1]_-"/>
    <numFmt numFmtId="167" formatCode="_-* #,##0\ _D_M_-;\-* #,##0\ _D_M_-;_-* &quot;-&quot;\ _D_M_-;_-@_-"/>
    <numFmt numFmtId="168" formatCode="d/;@"/>
    <numFmt numFmtId="169" formatCode="0.000000000000000"/>
    <numFmt numFmtId="170" formatCode="_-* #,##0.00\ [$€-407]_-;\-* #,##0.00\ [$€-407]_-;_-* &quot;-&quot;??\ [$€-407]_-;_-@_-"/>
    <numFmt numFmtId="171" formatCode="0.00;\-0.00;;@"/>
    <numFmt numFmtId="172" formatCode="###0;&quot;0&quot;"/>
    <numFmt numFmtId="173" formatCode="#,##0.00;#,##0.00;&quot;&quot;"/>
    <numFmt numFmtId="174" formatCode="[$-407]mmmm;@"/>
    <numFmt numFmtId="175" formatCode="0.0"/>
    <numFmt numFmtId="176" formatCode="#,##0.00\ &quot;€&quot;"/>
    <numFmt numFmtId="177" formatCode="mmmm"/>
    <numFmt numFmtId="178" formatCode="dd/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9.5"/>
      <name val="Arial"/>
      <family val="2"/>
    </font>
    <font>
      <b/>
      <sz val="14"/>
      <color rgb="FFFF0000"/>
      <name val="Arial"/>
      <family val="2"/>
    </font>
    <font>
      <b/>
      <sz val="8"/>
      <color rgb="FF00B0F0"/>
      <name val="Arial"/>
      <family val="2"/>
    </font>
    <font>
      <sz val="8"/>
      <name val="Arial"/>
      <family val="2"/>
    </font>
    <font>
      <b/>
      <sz val="14"/>
      <color rgb="FF0070C0"/>
      <name val="Arial"/>
      <family val="2"/>
    </font>
    <font>
      <sz val="10"/>
      <color rgb="FF0070C0"/>
      <name val="Arial"/>
      <family val="2"/>
    </font>
    <font>
      <b/>
      <sz val="11"/>
      <color rgb="FFFF0000"/>
      <name val="Arial"/>
      <family val="2"/>
    </font>
    <font>
      <b/>
      <sz val="8"/>
      <color rgb="FF0070C0"/>
      <name val="Arial"/>
      <family val="2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9"/>
      <color rgb="FFFF0000"/>
      <name val="Arial"/>
      <family val="2"/>
    </font>
    <font>
      <b/>
      <u val="singleAccounting"/>
      <sz val="9.5"/>
      <name val="Arial"/>
      <family val="2"/>
    </font>
    <font>
      <b/>
      <sz val="11"/>
      <color theme="9"/>
      <name val="Arial"/>
      <family val="2"/>
    </font>
    <font>
      <sz val="36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4D4D4C"/>
      <name val="Courier New"/>
      <family val="3"/>
    </font>
    <font>
      <i/>
      <sz val="10"/>
      <name val="Arial"/>
      <family val="2"/>
    </font>
    <font>
      <b/>
      <i/>
      <sz val="10"/>
      <name val="Arial"/>
      <family val="2"/>
    </font>
    <font>
      <b/>
      <sz val="16"/>
      <color rgb="FFFF0000"/>
      <name val="Aptos"/>
      <family val="2"/>
    </font>
    <font>
      <sz val="16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7">
    <xf numFmtId="0" fontId="0" fillId="0" borderId="0"/>
    <xf numFmtId="166" fontId="12" fillId="0" borderId="0" applyFont="0" applyFill="0" applyBorder="0" applyAlignment="0" applyProtection="0"/>
    <xf numFmtId="0" fontId="11" fillId="0" borderId="0"/>
    <xf numFmtId="165" fontId="12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164" fontId="12" fillId="0" borderId="0" applyFont="0" applyFill="0" applyBorder="0" applyAlignment="0" applyProtection="0"/>
    <xf numFmtId="0" fontId="6" fillId="0" borderId="0"/>
    <xf numFmtId="0" fontId="6" fillId="0" borderId="0"/>
    <xf numFmtId="164" fontId="12" fillId="0" borderId="0" applyFont="0" applyFill="0" applyBorder="0" applyAlignment="0" applyProtection="0"/>
    <xf numFmtId="0" fontId="5" fillId="0" borderId="0"/>
    <xf numFmtId="0" fontId="5" fillId="0" borderId="0"/>
    <xf numFmtId="164" fontId="12" fillId="0" borderId="0" applyFont="0" applyFill="0" applyBorder="0" applyAlignment="0" applyProtection="0"/>
    <xf numFmtId="0" fontId="4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164" fontId="12" fillId="0" borderId="0" applyFont="0" applyFill="0" applyBorder="0" applyAlignment="0" applyProtection="0"/>
    <xf numFmtId="0" fontId="2" fillId="0" borderId="0"/>
    <xf numFmtId="0" fontId="2" fillId="0" borderId="0"/>
    <xf numFmtId="164" fontId="12" fillId="0" borderId="0" applyFont="0" applyFill="0" applyBorder="0" applyAlignment="0" applyProtection="0"/>
    <xf numFmtId="0" fontId="1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2" fontId="12" fillId="2" borderId="0" xfId="0" applyNumberFormat="1" applyFont="1" applyFill="1" applyAlignment="1">
      <alignment horizontal="center"/>
    </xf>
    <xf numFmtId="167" fontId="15" fillId="2" borderId="0" xfId="0" applyNumberFormat="1" applyFont="1" applyFill="1" applyAlignment="1">
      <alignment horizontal="right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2" fontId="14" fillId="2" borderId="0" xfId="0" applyNumberFormat="1" applyFont="1" applyFill="1" applyAlignment="1">
      <alignment horizontal="center"/>
    </xf>
    <xf numFmtId="17" fontId="13" fillId="2" borderId="0" xfId="0" applyNumberFormat="1" applyFont="1" applyFill="1"/>
    <xf numFmtId="168" fontId="12" fillId="2" borderId="0" xfId="0" applyNumberFormat="1" applyFont="1" applyFill="1"/>
    <xf numFmtId="169" fontId="12" fillId="2" borderId="0" xfId="0" applyNumberFormat="1" applyFont="1" applyFill="1"/>
    <xf numFmtId="0" fontId="12" fillId="2" borderId="0" xfId="0" applyFont="1" applyFill="1" applyAlignment="1">
      <alignment horizontal="left" indent="4"/>
    </xf>
    <xf numFmtId="20" fontId="12" fillId="2" borderId="0" xfId="0" applyNumberFormat="1" applyFont="1" applyFill="1" applyAlignment="1">
      <alignment horizontal="center"/>
    </xf>
    <xf numFmtId="20" fontId="13" fillId="2" borderId="0" xfId="0" applyNumberFormat="1" applyFont="1" applyFill="1" applyAlignment="1">
      <alignment horizontal="center"/>
    </xf>
    <xf numFmtId="0" fontId="14" fillId="2" borderId="0" xfId="0" applyFont="1" applyFill="1" applyAlignment="1" applyProtection="1">
      <alignment horizontal="left"/>
      <protection locked="0"/>
    </xf>
    <xf numFmtId="0" fontId="16" fillId="2" borderId="0" xfId="0" applyFont="1" applyFill="1"/>
    <xf numFmtId="2" fontId="13" fillId="2" borderId="0" xfId="0" applyNumberFormat="1" applyFont="1" applyFill="1" applyAlignment="1">
      <alignment horizontal="center" vertical="top" wrapText="1"/>
    </xf>
    <xf numFmtId="170" fontId="17" fillId="2" borderId="1" xfId="1" applyNumberFormat="1" applyFont="1" applyFill="1" applyBorder="1" applyAlignment="1" applyProtection="1">
      <alignment horizontal="center" vertical="top" wrapText="1"/>
      <protection locked="0"/>
    </xf>
    <xf numFmtId="170" fontId="17" fillId="2" borderId="1" xfId="1" applyNumberFormat="1" applyFont="1" applyFill="1" applyBorder="1" applyAlignment="1" applyProtection="1">
      <alignment horizontal="center" vertical="top" wrapText="1"/>
    </xf>
    <xf numFmtId="168" fontId="12" fillId="2" borderId="5" xfId="0" applyNumberFormat="1" applyFont="1" applyFill="1" applyBorder="1" applyAlignment="1">
      <alignment horizontal="left" vertical="center" wrapText="1"/>
    </xf>
    <xf numFmtId="14" fontId="12" fillId="2" borderId="0" xfId="0" applyNumberFormat="1" applyFont="1" applyFill="1"/>
    <xf numFmtId="168" fontId="12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2" fontId="13" fillId="2" borderId="0" xfId="0" applyNumberFormat="1" applyFont="1" applyFill="1" applyAlignment="1">
      <alignment horizontal="center" vertical="center" wrapText="1"/>
    </xf>
    <xf numFmtId="2" fontId="13" fillId="2" borderId="7" xfId="0" applyNumberFormat="1" applyFont="1" applyFill="1" applyBorder="1" applyAlignment="1">
      <alignment horizontal="center" vertical="center" wrapText="1"/>
    </xf>
    <xf numFmtId="2" fontId="13" fillId="2" borderId="8" xfId="0" applyNumberFormat="1" applyFont="1" applyFill="1" applyBorder="1" applyAlignment="1">
      <alignment horizontal="center" vertical="center" wrapText="1"/>
    </xf>
    <xf numFmtId="166" fontId="13" fillId="2" borderId="9" xfId="1" applyFont="1" applyFill="1" applyBorder="1" applyAlignment="1" applyProtection="1">
      <alignment horizontal="right" vertical="center" wrapText="1"/>
    </xf>
    <xf numFmtId="2" fontId="13" fillId="2" borderId="10" xfId="1" applyNumberFormat="1" applyFont="1" applyFill="1" applyBorder="1" applyAlignment="1" applyProtection="1">
      <alignment horizontal="right" vertical="center" wrapText="1"/>
      <protection locked="0"/>
    </xf>
    <xf numFmtId="166" fontId="13" fillId="2" borderId="0" xfId="1" applyFont="1" applyFill="1" applyBorder="1" applyAlignment="1" applyProtection="1">
      <alignment horizontal="right" vertical="center" wrapText="1"/>
    </xf>
    <xf numFmtId="2" fontId="13" fillId="2" borderId="0" xfId="1" applyNumberFormat="1" applyFont="1" applyFill="1" applyBorder="1" applyAlignment="1" applyProtection="1">
      <alignment horizontal="right" vertical="center" wrapText="1"/>
      <protection locked="0"/>
    </xf>
    <xf numFmtId="167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2" fontId="12" fillId="2" borderId="2" xfId="0" applyNumberFormat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171" fontId="12" fillId="2" borderId="1" xfId="0" applyNumberFormat="1" applyFont="1" applyFill="1" applyBorder="1" applyAlignment="1">
      <alignment horizontal="center" vertical="center" wrapText="1"/>
    </xf>
    <xf numFmtId="172" fontId="12" fillId="2" borderId="0" xfId="0" applyNumberFormat="1" applyFont="1" applyFill="1"/>
    <xf numFmtId="1" fontId="12" fillId="2" borderId="0" xfId="0" applyNumberFormat="1" applyFont="1" applyFill="1" applyAlignment="1">
      <alignment horizontal="center"/>
    </xf>
    <xf numFmtId="0" fontId="12" fillId="2" borderId="1" xfId="0" applyFont="1" applyFill="1" applyBorder="1"/>
    <xf numFmtId="0" fontId="12" fillId="2" borderId="11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173" fontId="12" fillId="2" borderId="1" xfId="0" applyNumberFormat="1" applyFont="1" applyFill="1" applyBorder="1" applyAlignment="1">
      <alignment horizontal="center" vertical="center" wrapText="1"/>
    </xf>
    <xf numFmtId="168" fontId="12" fillId="2" borderId="3" xfId="0" applyNumberFormat="1" applyFont="1" applyFill="1" applyBorder="1" applyAlignment="1">
      <alignment horizontal="right" vertical="center" wrapText="1"/>
    </xf>
    <xf numFmtId="168" fontId="12" fillId="2" borderId="6" xfId="0" applyNumberFormat="1" applyFont="1" applyFill="1" applyBorder="1" applyAlignment="1">
      <alignment horizontal="right" vertical="center" wrapText="1"/>
    </xf>
    <xf numFmtId="168" fontId="12" fillId="0" borderId="6" xfId="0" applyNumberFormat="1" applyFont="1" applyBorder="1" applyAlignment="1">
      <alignment horizontal="right" vertical="center" wrapText="1"/>
    </xf>
    <xf numFmtId="0" fontId="12" fillId="2" borderId="0" xfId="0" applyFont="1" applyFill="1" applyAlignment="1">
      <alignment horizontal="left"/>
    </xf>
    <xf numFmtId="14" fontId="12" fillId="2" borderId="0" xfId="0" applyNumberFormat="1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23" fillId="0" borderId="0" xfId="0" applyFont="1"/>
    <xf numFmtId="166" fontId="24" fillId="0" borderId="0" xfId="1" applyFont="1" applyAlignment="1"/>
    <xf numFmtId="166" fontId="14" fillId="0" borderId="0" xfId="1" applyFont="1" applyAlignment="1"/>
    <xf numFmtId="164" fontId="14" fillId="0" borderId="0" xfId="0" applyNumberFormat="1" applyFont="1"/>
    <xf numFmtId="166" fontId="24" fillId="0" borderId="0" xfId="1" applyFont="1"/>
    <xf numFmtId="166" fontId="14" fillId="0" borderId="0" xfId="1" applyFont="1"/>
    <xf numFmtId="164" fontId="24" fillId="0" borderId="0" xfId="0" applyNumberFormat="1" applyFont="1"/>
    <xf numFmtId="166" fontId="24" fillId="0" borderId="0" xfId="1" applyFont="1" applyAlignment="1">
      <alignment horizontal="center" vertical="center"/>
    </xf>
    <xf numFmtId="166" fontId="24" fillId="0" borderId="0" xfId="1" applyFont="1" applyAlignment="1">
      <alignment horizontal="left"/>
    </xf>
    <xf numFmtId="166" fontId="24" fillId="0" borderId="0" xfId="1" applyFont="1" applyAlignment="1">
      <alignment horizontal="right"/>
    </xf>
    <xf numFmtId="166" fontId="14" fillId="0" borderId="0" xfId="1" applyFont="1" applyAlignment="1">
      <alignment horizontal="center"/>
    </xf>
    <xf numFmtId="166" fontId="14" fillId="0" borderId="0" xfId="1" applyFont="1" applyAlignment="1">
      <alignment horizontal="right"/>
    </xf>
    <xf numFmtId="49" fontId="14" fillId="0" borderId="0" xfId="1" applyNumberFormat="1" applyFont="1" applyAlignment="1">
      <alignment horizontal="right"/>
    </xf>
    <xf numFmtId="14" fontId="25" fillId="0" borderId="0" xfId="0" applyNumberFormat="1" applyFont="1"/>
    <xf numFmtId="166" fontId="26" fillId="0" borderId="0" xfId="1" applyFont="1" applyAlignment="1">
      <alignment horizontal="left"/>
    </xf>
    <xf numFmtId="0" fontId="23" fillId="0" borderId="0" xfId="0" applyFont="1" applyAlignment="1">
      <alignment horizontal="left"/>
    </xf>
    <xf numFmtId="166" fontId="27" fillId="0" borderId="0" xfId="1" applyFont="1" applyAlignment="1"/>
    <xf numFmtId="0" fontId="24" fillId="0" borderId="0" xfId="0" applyFont="1"/>
    <xf numFmtId="167" fontId="13" fillId="2" borderId="0" xfId="0" applyNumberFormat="1" applyFont="1" applyFill="1" applyAlignment="1">
      <alignment horizontal="left" vertical="top" wrapText="1"/>
    </xf>
    <xf numFmtId="2" fontId="13" fillId="2" borderId="12" xfId="0" applyNumberFormat="1" applyFont="1" applyFill="1" applyBorder="1" applyAlignment="1">
      <alignment horizontal="center" vertical="center" wrapText="1"/>
    </xf>
    <xf numFmtId="166" fontId="13" fillId="2" borderId="13" xfId="1" applyFont="1" applyFill="1" applyBorder="1" applyAlignment="1" applyProtection="1">
      <alignment horizontal="right" vertical="center" wrapText="1"/>
    </xf>
    <xf numFmtId="0" fontId="12" fillId="2" borderId="2" xfId="0" applyFont="1" applyFill="1" applyBorder="1"/>
    <xf numFmtId="0" fontId="21" fillId="0" borderId="0" xfId="0" applyFont="1"/>
    <xf numFmtId="0" fontId="24" fillId="0" borderId="0" xfId="0" applyFont="1" applyAlignment="1">
      <alignment horizontal="left"/>
    </xf>
    <xf numFmtId="49" fontId="24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2" fontId="12" fillId="2" borderId="0" xfId="0" applyNumberFormat="1" applyFont="1" applyFill="1"/>
    <xf numFmtId="175" fontId="28" fillId="0" borderId="0" xfId="0" applyNumberFormat="1" applyFont="1"/>
    <xf numFmtId="0" fontId="29" fillId="0" borderId="0" xfId="0" applyFont="1" applyAlignment="1">
      <alignment vertical="top"/>
    </xf>
    <xf numFmtId="0" fontId="31" fillId="0" borderId="0" xfId="0" applyFont="1"/>
    <xf numFmtId="166" fontId="30" fillId="0" borderId="0" xfId="1" applyFont="1" applyAlignment="1">
      <alignment horizontal="center" vertical="center"/>
    </xf>
    <xf numFmtId="166" fontId="30" fillId="0" borderId="0" xfId="1" applyFont="1" applyAlignment="1">
      <alignment horizontal="left"/>
    </xf>
    <xf numFmtId="166" fontId="30" fillId="0" borderId="0" xfId="1" applyFont="1" applyAlignment="1">
      <alignment horizontal="right"/>
    </xf>
    <xf numFmtId="0" fontId="0" fillId="0" borderId="0" xfId="0" applyAlignment="1">
      <alignment horizontal="left" vertical="top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 vertical="center"/>
    </xf>
    <xf numFmtId="166" fontId="33" fillId="0" borderId="0" xfId="1" applyFont="1" applyAlignment="1"/>
    <xf numFmtId="175" fontId="33" fillId="0" borderId="0" xfId="0" applyNumberFormat="1" applyFont="1" applyAlignment="1">
      <alignment horizontal="left"/>
    </xf>
    <xf numFmtId="166" fontId="33" fillId="0" borderId="0" xfId="1" applyFont="1" applyAlignment="1">
      <alignment horizontal="left"/>
    </xf>
    <xf numFmtId="0" fontId="29" fillId="2" borderId="15" xfId="0" applyFont="1" applyFill="1" applyBorder="1"/>
    <xf numFmtId="0" fontId="24" fillId="0" borderId="0" xfId="5" applyFont="1"/>
    <xf numFmtId="166" fontId="17" fillId="0" borderId="0" xfId="1" applyFont="1" applyAlignment="1"/>
    <xf numFmtId="166" fontId="30" fillId="0" borderId="0" xfId="1" applyFont="1" applyAlignment="1"/>
    <xf numFmtId="0" fontId="37" fillId="0" borderId="0" xfId="0" applyFont="1"/>
    <xf numFmtId="0" fontId="13" fillId="0" borderId="0" xfId="0" applyFont="1"/>
    <xf numFmtId="0" fontId="37" fillId="0" borderId="0" xfId="0" applyFont="1" applyAlignment="1">
      <alignment horizontal="right"/>
    </xf>
    <xf numFmtId="166" fontId="30" fillId="0" borderId="0" xfId="1" applyFont="1" applyAlignment="1">
      <alignment horizontal="center"/>
    </xf>
    <xf numFmtId="0" fontId="32" fillId="0" borderId="0" xfId="0" applyFont="1"/>
    <xf numFmtId="0" fontId="25" fillId="0" borderId="0" xfId="0" applyFont="1"/>
    <xf numFmtId="166" fontId="27" fillId="0" borderId="0" xfId="1" applyFont="1" applyAlignment="1">
      <alignment horizontal="right"/>
    </xf>
    <xf numFmtId="0" fontId="38" fillId="0" borderId="0" xfId="0" applyFont="1" applyAlignment="1">
      <alignment horizontal="left" vertical="top" wrapText="1"/>
    </xf>
    <xf numFmtId="164" fontId="39" fillId="0" borderId="0" xfId="6" applyFont="1"/>
    <xf numFmtId="0" fontId="38" fillId="0" borderId="0" xfId="0" applyFont="1" applyAlignment="1">
      <alignment horizontal="left"/>
    </xf>
    <xf numFmtId="166" fontId="24" fillId="0" borderId="0" xfId="1" quotePrefix="1" applyFont="1" applyAlignment="1">
      <alignment horizontal="right"/>
    </xf>
    <xf numFmtId="0" fontId="40" fillId="0" borderId="0" xfId="0" applyFont="1"/>
    <xf numFmtId="0" fontId="35" fillId="0" borderId="0" xfId="0" applyFont="1" applyAlignment="1">
      <alignment horizontal="left"/>
    </xf>
    <xf numFmtId="166" fontId="18" fillId="0" borderId="0" xfId="1" applyFont="1" applyAlignment="1">
      <alignment horizontal="left"/>
    </xf>
    <xf numFmtId="166" fontId="41" fillId="0" borderId="0" xfId="1" applyFont="1" applyBorder="1" applyAlignment="1">
      <alignment horizontal="left"/>
    </xf>
    <xf numFmtId="0" fontId="42" fillId="0" borderId="0" xfId="0" applyFont="1"/>
    <xf numFmtId="0" fontId="27" fillId="0" borderId="0" xfId="0" applyFont="1"/>
    <xf numFmtId="0" fontId="34" fillId="0" borderId="0" xfId="0" applyFont="1"/>
    <xf numFmtId="0" fontId="43" fillId="0" borderId="0" xfId="0" applyFont="1"/>
    <xf numFmtId="0" fontId="10" fillId="0" borderId="0" xfId="7"/>
    <xf numFmtId="0" fontId="45" fillId="0" borderId="0" xfId="7" applyFont="1" applyAlignment="1">
      <alignment horizontal="left" indent="3"/>
    </xf>
    <xf numFmtId="0" fontId="46" fillId="0" borderId="0" xfId="7" applyFont="1" applyAlignment="1">
      <alignment horizontal="left"/>
    </xf>
    <xf numFmtId="0" fontId="10" fillId="2" borderId="0" xfId="7" applyFill="1"/>
    <xf numFmtId="0" fontId="44" fillId="0" borderId="0" xfId="7" applyFont="1"/>
    <xf numFmtId="0" fontId="47" fillId="2" borderId="0" xfId="7" applyFont="1" applyFill="1"/>
    <xf numFmtId="177" fontId="47" fillId="2" borderId="16" xfId="3" applyNumberFormat="1" applyFont="1" applyFill="1" applyBorder="1" applyAlignment="1" applyProtection="1">
      <alignment horizontal="center"/>
    </xf>
    <xf numFmtId="0" fontId="47" fillId="2" borderId="16" xfId="7" applyFont="1" applyFill="1" applyBorder="1" applyAlignment="1">
      <alignment horizontal="center"/>
    </xf>
    <xf numFmtId="0" fontId="44" fillId="0" borderId="17" xfId="7" applyFont="1" applyBorder="1"/>
    <xf numFmtId="0" fontId="48" fillId="0" borderId="0" xfId="7" applyFont="1" applyAlignment="1">
      <alignment horizontal="left" indent="2"/>
    </xf>
    <xf numFmtId="0" fontId="49" fillId="2" borderId="18" xfId="7" applyFont="1" applyFill="1" applyBorder="1" applyAlignment="1">
      <alignment horizontal="center" vertical="center" wrapText="1"/>
    </xf>
    <xf numFmtId="0" fontId="44" fillId="2" borderId="18" xfId="7" applyFont="1" applyFill="1" applyBorder="1" applyAlignment="1">
      <alignment vertical="top"/>
    </xf>
    <xf numFmtId="0" fontId="44" fillId="3" borderId="18" xfId="7" applyFont="1" applyFill="1" applyBorder="1" applyAlignment="1">
      <alignment vertical="top" wrapText="1"/>
    </xf>
    <xf numFmtId="0" fontId="44" fillId="2" borderId="18" xfId="7" applyFont="1" applyFill="1" applyBorder="1" applyAlignment="1">
      <alignment vertical="top" wrapText="1"/>
    </xf>
    <xf numFmtId="178" fontId="44" fillId="2" borderId="18" xfId="7" applyNumberFormat="1" applyFont="1" applyFill="1" applyBorder="1" applyAlignment="1">
      <alignment horizontal="center"/>
    </xf>
    <xf numFmtId="175" fontId="44" fillId="2" borderId="18" xfId="7" applyNumberFormat="1" applyFont="1" applyFill="1" applyBorder="1" applyAlignment="1">
      <alignment horizontal="center"/>
    </xf>
    <xf numFmtId="176" fontId="44" fillId="2" borderId="18" xfId="7" applyNumberFormat="1" applyFont="1" applyFill="1" applyBorder="1"/>
    <xf numFmtId="0" fontId="44" fillId="2" borderId="18" xfId="7" applyFont="1" applyFill="1" applyBorder="1"/>
    <xf numFmtId="176" fontId="44" fillId="2" borderId="18" xfId="6" applyNumberFormat="1" applyFont="1" applyFill="1" applyBorder="1" applyAlignment="1">
      <alignment horizontal="right"/>
    </xf>
    <xf numFmtId="164" fontId="44" fillId="2" borderId="18" xfId="6" applyFont="1" applyFill="1" applyBorder="1" applyAlignment="1">
      <alignment horizontal="right"/>
    </xf>
    <xf numFmtId="0" fontId="50" fillId="0" borderId="0" xfId="5" applyFont="1"/>
    <xf numFmtId="0" fontId="47" fillId="0" borderId="0" xfId="7" applyFont="1"/>
    <xf numFmtId="0" fontId="47" fillId="0" borderId="0" xfId="7" applyFont="1" applyProtection="1">
      <protection locked="0"/>
    </xf>
    <xf numFmtId="175" fontId="44" fillId="0" borderId="0" xfId="7" applyNumberFormat="1" applyFont="1" applyAlignment="1">
      <alignment horizontal="right"/>
    </xf>
    <xf numFmtId="176" fontId="44" fillId="0" borderId="11" xfId="7" applyNumberFormat="1" applyFont="1" applyBorder="1" applyAlignment="1">
      <alignment horizontal="center"/>
    </xf>
    <xf numFmtId="0" fontId="47" fillId="0" borderId="0" xfId="7" applyFont="1" applyAlignment="1">
      <alignment horizontal="left" indent="3"/>
    </xf>
    <xf numFmtId="0" fontId="13" fillId="2" borderId="1" xfId="0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 applyProtection="1">
      <alignment vertical="center"/>
      <protection locked="0"/>
    </xf>
    <xf numFmtId="49" fontId="24" fillId="0" borderId="0" xfId="0" applyNumberFormat="1" applyFont="1"/>
    <xf numFmtId="2" fontId="51" fillId="2" borderId="7" xfId="0" applyNumberFormat="1" applyFont="1" applyFill="1" applyBorder="1" applyAlignment="1">
      <alignment horizontal="center" vertical="center" wrapText="1"/>
    </xf>
    <xf numFmtId="167" fontId="12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164" fontId="10" fillId="0" borderId="0" xfId="4" applyFont="1"/>
    <xf numFmtId="164" fontId="50" fillId="0" borderId="0" xfId="4" applyFont="1"/>
    <xf numFmtId="0" fontId="12" fillId="2" borderId="1" xfId="5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0" xfId="0" applyFont="1"/>
    <xf numFmtId="0" fontId="55" fillId="0" borderId="0" xfId="0" applyFont="1"/>
    <xf numFmtId="0" fontId="35" fillId="0" borderId="0" xfId="0" applyFont="1"/>
    <xf numFmtId="0" fontId="56" fillId="0" borderId="0" xfId="0" applyFont="1"/>
    <xf numFmtId="0" fontId="44" fillId="3" borderId="0" xfId="26" applyFont="1" applyFill="1" applyProtection="1">
      <protection locked="0"/>
    </xf>
    <xf numFmtId="0" fontId="44" fillId="0" borderId="17" xfId="26" applyFont="1" applyBorder="1"/>
    <xf numFmtId="168" fontId="12" fillId="2" borderId="5" xfId="0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 applyProtection="1">
      <alignment vertical="center"/>
      <protection locked="0"/>
    </xf>
    <xf numFmtId="20" fontId="1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vertical="center" wrapText="1"/>
      <protection locked="0"/>
    </xf>
    <xf numFmtId="0" fontId="57" fillId="2" borderId="1" xfId="0" applyFont="1" applyFill="1" applyBorder="1" applyAlignment="1" applyProtection="1">
      <alignment horizontal="left"/>
      <protection locked="0"/>
    </xf>
    <xf numFmtId="20" fontId="12" fillId="3" borderId="2" xfId="0" applyNumberFormat="1" applyFont="1" applyFill="1" applyBorder="1" applyAlignment="1" applyProtection="1">
      <alignment horizontal="center" vertical="center" wrapText="1"/>
      <protection locked="0"/>
    </xf>
    <xf numFmtId="20" fontId="0" fillId="3" borderId="0" xfId="0" applyNumberFormat="1" applyFill="1"/>
    <xf numFmtId="20" fontId="0" fillId="0" borderId="1" xfId="0" applyNumberFormat="1" applyBorder="1"/>
    <xf numFmtId="0" fontId="12" fillId="2" borderId="0" xfId="0" applyFont="1" applyFill="1" applyAlignment="1">
      <alignment horizontal="center"/>
    </xf>
    <xf numFmtId="0" fontId="21" fillId="2" borderId="0" xfId="0" applyFont="1" applyFill="1" applyAlignment="1">
      <alignment horizontal="left"/>
    </xf>
    <xf numFmtId="174" fontId="14" fillId="2" borderId="0" xfId="0" applyNumberFormat="1" applyFont="1" applyFill="1" applyAlignment="1" applyProtection="1">
      <alignment horizontal="right"/>
      <protection locked="0"/>
    </xf>
    <xf numFmtId="167" fontId="13" fillId="2" borderId="0" xfId="0" applyNumberFormat="1" applyFont="1" applyFill="1" applyAlignment="1">
      <alignment horizontal="left" vertical="top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176" fontId="34" fillId="0" borderId="0" xfId="0" applyNumberFormat="1" applyFont="1" applyAlignment="1">
      <alignment horizontal="center" vertical="center"/>
    </xf>
    <xf numFmtId="0" fontId="47" fillId="3" borderId="16" xfId="7" applyFont="1" applyFill="1" applyBorder="1" applyAlignment="1">
      <alignment horizontal="left"/>
    </xf>
    <xf numFmtId="0" fontId="44" fillId="2" borderId="18" xfId="7" applyFont="1" applyFill="1" applyBorder="1" applyAlignment="1">
      <alignment horizontal="left" vertical="top" wrapText="1"/>
    </xf>
  </cellXfs>
  <cellStyles count="37">
    <cellStyle name="Euro" xfId="1" xr:uid="{00000000-0005-0000-0000-000000000000}"/>
    <cellStyle name="Komma 2" xfId="3" xr:uid="{00000000-0005-0000-0000-000001000000}"/>
    <cellStyle name="Normal" xfId="0" builtinId="0"/>
    <cellStyle name="ParaBirimi" xfId="4" builtinId="4"/>
    <cellStyle name="Standard 2" xfId="2" xr:uid="{00000000-0005-0000-0000-000003000000}"/>
    <cellStyle name="Standard 2 10" xfId="28" xr:uid="{F43501B6-28EE-48CF-BED6-3A5BC9F34D0B}"/>
    <cellStyle name="Standard 2 11" xfId="31" xr:uid="{6D8D883A-8AE5-49C8-BFB7-970E80931431}"/>
    <cellStyle name="Standard 2 2" xfId="8" xr:uid="{1D4BE788-D7AB-43C0-84B3-68AA7D11CCF1}"/>
    <cellStyle name="Standard 2 2 2" xfId="23" xr:uid="{3C1DAFC2-F6CA-47FB-8D01-907C9D44F0AD}"/>
    <cellStyle name="Standard 2 2 3" xfId="35" xr:uid="{0B6F64F6-50D0-4DF4-8B24-7D01DDCBACA3}"/>
    <cellStyle name="Standard 2 3" xfId="9" xr:uid="{8163BC2A-5BBA-4AB8-851F-7E374CAE1B73}"/>
    <cellStyle name="Standard 2 3 2" xfId="24" xr:uid="{FDD0B85F-6FD5-4983-8DCA-1EC34E45705F}"/>
    <cellStyle name="Standard 2 3 3" xfId="36" xr:uid="{41508918-97D3-4D5A-955F-F5BECCDE1138}"/>
    <cellStyle name="Standard 2 4" xfId="7" xr:uid="{DC3DE744-1323-4CC5-937B-7782626DEFC8}"/>
    <cellStyle name="Standard 2 4 2" xfId="11" xr:uid="{0283124F-256F-48DD-BE8C-00641C6A615A}"/>
    <cellStyle name="Standard 2 4 3" xfId="14" xr:uid="{E513DF2C-D526-4F19-8DDF-6586B3C6AF25}"/>
    <cellStyle name="Standard 2 4 4" xfId="17" xr:uid="{B741F3E3-C260-4371-8BB9-494543EEC015}"/>
    <cellStyle name="Standard 2 4 5" xfId="22" xr:uid="{11521015-BA17-4759-B114-A0F6C34FED57}"/>
    <cellStyle name="Standard 2 4 6" xfId="26" xr:uid="{944FF34E-8E07-4C93-973C-52BBD3BADCAB}"/>
    <cellStyle name="Standard 2 4 7" xfId="29" xr:uid="{0115A87D-66A0-48EB-ACCF-09E48B776293}"/>
    <cellStyle name="Standard 2 4 8" xfId="34" xr:uid="{5D830F7D-9F5A-4800-83EA-24BE699EB1E3}"/>
    <cellStyle name="Standard 2 5" xfId="10" xr:uid="{3A16C3A8-B34F-41EC-B244-1E1D99626107}"/>
    <cellStyle name="Standard 2 6" xfId="13" xr:uid="{0A90F6DE-F3C2-45B8-A104-590CCCA83542}"/>
    <cellStyle name="Standard 2 7" xfId="16" xr:uid="{39207F2A-79CE-4F7F-A378-4D3856EC1F39}"/>
    <cellStyle name="Standard 2 8" xfId="19" xr:uid="{3FC64B2F-0B17-438B-9900-644B307C4AA3}"/>
    <cellStyle name="Standard 2 9" xfId="25" xr:uid="{2E281427-E4E2-468C-9874-00D2D74BE245}"/>
    <cellStyle name="Standard 3" xfId="5" xr:uid="{544E78C8-0545-4C9F-94CE-B689969039B9}"/>
    <cellStyle name="Währung 2" xfId="6" xr:uid="{C1CF5778-A7BE-4F26-AA93-70B0682814D6}"/>
    <cellStyle name="Währung 2 2" xfId="12" xr:uid="{76C2F41E-D982-4C85-8CE0-196CC109AAF7}"/>
    <cellStyle name="Währung 2 3" xfId="15" xr:uid="{787E8DAC-D3B1-4888-BDF9-145A0B455264}"/>
    <cellStyle name="Währung 2 4" xfId="18" xr:uid="{58BA8E62-474D-40E9-A6CC-DEA96F95CC0D}"/>
    <cellStyle name="Währung 2 5" xfId="21" xr:uid="{9A097657-76CD-4228-A3C9-6B06C90E78F6}"/>
    <cellStyle name="Währung 2 6" xfId="27" xr:uid="{E08D306B-27B5-4C5F-99E6-34F8343C410F}"/>
    <cellStyle name="Währung 2 7" xfId="30" xr:uid="{546B4498-E42B-4651-8BE9-0CC1852494F4}"/>
    <cellStyle name="Währung 2 8" xfId="33" xr:uid="{03916639-F4CD-4C26-8286-03EC0093A066}"/>
    <cellStyle name="Währung 3" xfId="20" xr:uid="{0CA5BE37-38AA-4D9E-A696-528AEAE17F33}"/>
    <cellStyle name="Währung 4" xfId="32" xr:uid="{60B69057-F437-4B30-9031-C3ED7B502128}"/>
  </cellStyles>
  <dxfs count="39">
    <dxf>
      <fill>
        <patternFill>
          <bgColor rgb="FF00B05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fgColor auto="1"/>
          <bgColor rgb="FFFFFF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FF85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2</xdr:col>
          <xdr:colOff>390525</xdr:colOff>
          <xdr:row>6</xdr:row>
          <xdr:rowOff>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299358</xdr:colOff>
      <xdr:row>0</xdr:row>
      <xdr:rowOff>0</xdr:rowOff>
    </xdr:from>
    <xdr:to>
      <xdr:col>5</xdr:col>
      <xdr:colOff>119744</xdr:colOff>
      <xdr:row>1</xdr:row>
      <xdr:rowOff>156650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12000"/>
          <a:grayscl/>
          <a:biLevel thresh="50000"/>
        </a:blip>
        <a:srcRect/>
        <a:stretch>
          <a:fillRect/>
        </a:stretch>
      </xdr:blipFill>
      <xdr:spPr bwMode="auto">
        <a:xfrm>
          <a:off x="299358" y="0"/>
          <a:ext cx="544286" cy="4519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422031</xdr:colOff>
      <xdr:row>41</xdr:row>
      <xdr:rowOff>242522</xdr:rowOff>
    </xdr:from>
    <xdr:to>
      <xdr:col>5</xdr:col>
      <xdr:colOff>575897</xdr:colOff>
      <xdr:row>41</xdr:row>
      <xdr:rowOff>242522</xdr:rowOff>
    </xdr:to>
    <xdr:cxnSp macro="">
      <xdr:nvCxnSpPr>
        <xdr:cNvPr id="2" name="Gerader Verbinde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717431" y="9110297"/>
          <a:ext cx="2268416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329711</xdr:rowOff>
    </xdr:from>
    <xdr:to>
      <xdr:col>2</xdr:col>
      <xdr:colOff>205154</xdr:colOff>
      <xdr:row>3</xdr:row>
      <xdr:rowOff>0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752475" y="825011"/>
          <a:ext cx="205154" cy="36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315058</xdr:colOff>
      <xdr:row>2</xdr:row>
      <xdr:rowOff>322384</xdr:rowOff>
    </xdr:from>
    <xdr:to>
      <xdr:col>7</xdr:col>
      <xdr:colOff>652096</xdr:colOff>
      <xdr:row>2</xdr:row>
      <xdr:rowOff>322384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610458" y="817684"/>
          <a:ext cx="36326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82827</xdr:colOff>
      <xdr:row>1</xdr:row>
      <xdr:rowOff>33129</xdr:rowOff>
    </xdr:from>
    <xdr:to>
      <xdr:col>3</xdr:col>
      <xdr:colOff>339587</xdr:colOff>
      <xdr:row>3</xdr:row>
      <xdr:rowOff>103690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12000"/>
          <a:grayscl/>
          <a:biLevel thresh="50000"/>
        </a:blip>
        <a:srcRect/>
        <a:stretch>
          <a:fillRect/>
        </a:stretch>
      </xdr:blipFill>
      <xdr:spPr bwMode="auto">
        <a:xfrm>
          <a:off x="835302" y="299829"/>
          <a:ext cx="799685" cy="63253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89BD-191A-4CC4-8F2F-DF93B2C6FB1E}">
  <sheetPr>
    <pageSetUpPr fitToPage="1"/>
  </sheetPr>
  <dimension ref="A4:J55"/>
  <sheetViews>
    <sheetView view="pageLayout" zoomScale="85" zoomScaleNormal="115" zoomScalePageLayoutView="85" workbookViewId="0">
      <selection activeCell="G7" sqref="G7"/>
    </sheetView>
  </sheetViews>
  <sheetFormatPr defaultColWidth="11.42578125" defaultRowHeight="12.75" x14ac:dyDescent="0.2"/>
  <cols>
    <col min="1" max="1" width="17.7109375" customWidth="1"/>
    <col min="2" max="2" width="26.28515625" customWidth="1"/>
    <col min="3" max="3" width="22" customWidth="1"/>
    <col min="4" max="4" width="10.140625" customWidth="1"/>
    <col min="5" max="5" width="16.28515625" customWidth="1"/>
    <col min="6" max="6" width="14.28515625" customWidth="1"/>
    <col min="7" max="7" width="14.140625" customWidth="1"/>
    <col min="8" max="8" width="18.85546875" customWidth="1"/>
    <col min="9" max="9" width="13.7109375" customWidth="1"/>
  </cols>
  <sheetData>
    <row r="4" spans="1:10" ht="44.25" x14ac:dyDescent="0.55000000000000004">
      <c r="C4" s="112" t="s">
        <v>37</v>
      </c>
    </row>
    <row r="6" spans="1:10" ht="14.25" x14ac:dyDescent="0.2">
      <c r="B6" s="51"/>
      <c r="C6" s="51"/>
    </row>
    <row r="7" spans="1:10" ht="18" x14ac:dyDescent="0.25">
      <c r="A7" s="51" t="s">
        <v>36</v>
      </c>
      <c r="B7" s="141" t="s">
        <v>103</v>
      </c>
      <c r="C7" s="51"/>
      <c r="D7" s="91" t="s">
        <v>85</v>
      </c>
      <c r="E7" s="68"/>
      <c r="G7" s="51" t="s">
        <v>35</v>
      </c>
      <c r="H7" s="142" t="s">
        <v>34</v>
      </c>
      <c r="I7" s="51"/>
      <c r="J7" s="51"/>
    </row>
    <row r="8" spans="1:10" ht="24.95" customHeight="1" x14ac:dyDescent="0.25">
      <c r="A8" s="51"/>
      <c r="B8" s="51"/>
      <c r="C8" s="51"/>
      <c r="D8" s="68"/>
      <c r="E8" s="68"/>
      <c r="G8" s="51"/>
      <c r="H8" s="75"/>
      <c r="I8" s="51"/>
      <c r="J8" s="51"/>
    </row>
    <row r="9" spans="1:10" ht="20.100000000000001" customHeight="1" x14ac:dyDescent="0.25">
      <c r="A9" s="51"/>
      <c r="B9" s="51"/>
      <c r="C9" s="51"/>
      <c r="D9" s="51"/>
      <c r="E9" s="51"/>
      <c r="G9" s="51" t="s">
        <v>39</v>
      </c>
      <c r="H9" s="54"/>
      <c r="I9" s="51"/>
      <c r="J9" s="51"/>
    </row>
    <row r="10" spans="1:10" ht="20.100000000000001" customHeight="1" x14ac:dyDescent="0.2">
      <c r="A10" s="51"/>
      <c r="B10" s="51"/>
      <c r="C10" s="51"/>
      <c r="D10" s="51"/>
      <c r="E10" s="51"/>
      <c r="G10" s="79" t="s">
        <v>56</v>
      </c>
      <c r="H10" s="51"/>
      <c r="I10" s="51"/>
      <c r="J10" s="51"/>
    </row>
    <row r="11" spans="1:10" ht="20.100000000000001" customHeight="1" x14ac:dyDescent="0.25">
      <c r="A11" s="51"/>
      <c r="B11" s="57"/>
      <c r="C11" s="51"/>
      <c r="D11" s="51"/>
      <c r="E11" s="51"/>
      <c r="G11" s="51" t="s">
        <v>41</v>
      </c>
      <c r="H11" s="92"/>
      <c r="I11" s="51"/>
      <c r="J11" s="51"/>
    </row>
    <row r="12" spans="1:10" ht="24.95" customHeight="1" x14ac:dyDescent="0.25">
      <c r="A12" s="73" t="s">
        <v>38</v>
      </c>
      <c r="B12" s="51"/>
      <c r="C12" s="93">
        <f>'09.September Auslöse'!I42</f>
        <v>400</v>
      </c>
      <c r="D12" s="93"/>
      <c r="E12" s="53"/>
      <c r="F12" s="94"/>
      <c r="G12" s="92"/>
      <c r="I12" s="51"/>
      <c r="J12" s="51"/>
    </row>
    <row r="13" spans="1:10" ht="15" customHeight="1" x14ac:dyDescent="0.25">
      <c r="A13" s="95"/>
      <c r="B13" s="51"/>
      <c r="E13" s="56"/>
      <c r="F13" s="51"/>
      <c r="G13" s="96"/>
      <c r="H13" s="51"/>
      <c r="I13" s="51"/>
      <c r="J13" s="51"/>
    </row>
    <row r="14" spans="1:10" ht="24.95" customHeight="1" x14ac:dyDescent="0.25">
      <c r="A14" s="73" t="s">
        <v>40</v>
      </c>
      <c r="B14" s="51"/>
      <c r="C14" s="97">
        <f>'09.September Lohn'!K40</f>
        <v>2164.5</v>
      </c>
      <c r="D14" s="55"/>
      <c r="E14" s="56"/>
      <c r="F14" s="51"/>
      <c r="G14" s="51"/>
      <c r="H14" s="51"/>
      <c r="I14" s="51"/>
      <c r="J14" s="51"/>
    </row>
    <row r="15" spans="1:10" ht="15" customHeight="1" x14ac:dyDescent="0.25">
      <c r="A15" s="95"/>
      <c r="C15" s="80"/>
      <c r="D15" s="52"/>
      <c r="E15" s="53"/>
      <c r="H15" s="57"/>
      <c r="I15" s="51"/>
      <c r="J15" s="51"/>
    </row>
    <row r="16" spans="1:10" ht="24.95" customHeight="1" x14ac:dyDescent="0.25">
      <c r="A16" s="73" t="s">
        <v>42</v>
      </c>
      <c r="C16" s="93">
        <f>'09.September Lohn'!L40</f>
        <v>835.14285714285722</v>
      </c>
      <c r="D16" s="55"/>
      <c r="E16" s="56"/>
      <c r="F16" s="51"/>
      <c r="G16" s="51"/>
      <c r="H16" s="51"/>
      <c r="I16" s="51"/>
      <c r="J16" s="51"/>
    </row>
    <row r="17" spans="1:10" ht="15" customHeight="1" x14ac:dyDescent="0.25">
      <c r="A17" s="95"/>
      <c r="C17" s="80"/>
      <c r="D17" s="52"/>
      <c r="E17" s="53"/>
      <c r="F17" s="51"/>
      <c r="G17" s="51"/>
      <c r="H17" s="51"/>
      <c r="I17" s="51"/>
      <c r="J17" s="51"/>
    </row>
    <row r="18" spans="1:10" ht="24.95" customHeight="1" x14ac:dyDescent="0.25">
      <c r="A18" s="73" t="s">
        <v>43</v>
      </c>
      <c r="C18" s="81">
        <f>'09.September Lohn'!O40</f>
        <v>393.125</v>
      </c>
      <c r="D18" s="73" t="s">
        <v>44</v>
      </c>
      <c r="E18" s="82">
        <f>'09.September Lohn'!P40</f>
        <v>0</v>
      </c>
      <c r="F18" s="73" t="s">
        <v>64</v>
      </c>
      <c r="G18" s="59">
        <f>'09.September Lohn'!Q40</f>
        <v>0</v>
      </c>
      <c r="H18" s="51"/>
      <c r="I18" s="51"/>
      <c r="J18" s="51"/>
    </row>
    <row r="19" spans="1:10" ht="15" customHeight="1" x14ac:dyDescent="0.2">
      <c r="J19" s="51"/>
    </row>
    <row r="20" spans="1:10" ht="24.95" customHeight="1" x14ac:dyDescent="0.25">
      <c r="A20" s="98" t="s">
        <v>65</v>
      </c>
      <c r="C20" s="100">
        <f>'09.September Lohn'!N40</f>
        <v>0</v>
      </c>
      <c r="F20" s="101" t="s">
        <v>6</v>
      </c>
      <c r="G20" s="102">
        <f>'09.September Lohn'!U40</f>
        <v>0</v>
      </c>
      <c r="J20" s="51"/>
    </row>
    <row r="21" spans="1:10" ht="14.1" customHeight="1" x14ac:dyDescent="0.25">
      <c r="A21" s="73"/>
      <c r="C21" s="83"/>
      <c r="F21" s="103"/>
      <c r="G21" s="102"/>
      <c r="J21" s="51"/>
    </row>
    <row r="22" spans="1:10" ht="24.95" customHeight="1" x14ac:dyDescent="0.25">
      <c r="A22" s="98" t="s">
        <v>66</v>
      </c>
      <c r="C22" s="100">
        <f>'09.September Lohn'!T40</f>
        <v>0</v>
      </c>
      <c r="F22" s="101" t="s">
        <v>7</v>
      </c>
      <c r="G22" s="102">
        <f>'09.September Lohn'!V40</f>
        <v>0</v>
      </c>
      <c r="J22" s="51"/>
    </row>
    <row r="23" spans="1:10" ht="14.1" customHeight="1" x14ac:dyDescent="0.25">
      <c r="A23" s="73"/>
      <c r="B23" s="51"/>
      <c r="C23" s="83"/>
      <c r="F23" s="103"/>
      <c r="G23" s="102"/>
      <c r="J23" s="51"/>
    </row>
    <row r="24" spans="1:10" ht="24.95" customHeight="1" x14ac:dyDescent="0.25">
      <c r="A24" s="98" t="s">
        <v>67</v>
      </c>
      <c r="B24" s="99"/>
      <c r="C24" s="100">
        <f>'09.September Lohn'!S40</f>
        <v>0</v>
      </c>
      <c r="F24" s="101" t="s">
        <v>8</v>
      </c>
      <c r="G24" s="102">
        <f>'09.September Lohn'!W40</f>
        <v>0</v>
      </c>
      <c r="J24" s="51"/>
    </row>
    <row r="25" spans="1:10" ht="15" customHeight="1" x14ac:dyDescent="0.2">
      <c r="G25" s="102"/>
      <c r="J25" s="51"/>
    </row>
    <row r="26" spans="1:10" ht="24.95" customHeight="1" x14ac:dyDescent="0.25">
      <c r="A26" s="51" t="s">
        <v>45</v>
      </c>
      <c r="B26" s="51"/>
      <c r="C26" s="82">
        <f>'09.September Lohn'!R40</f>
        <v>0</v>
      </c>
      <c r="D26" s="51"/>
      <c r="E26" s="59"/>
      <c r="F26" s="51"/>
      <c r="G26" s="59"/>
      <c r="J26" s="51"/>
    </row>
    <row r="27" spans="1:10" ht="16.5" customHeight="1" x14ac:dyDescent="0.25">
      <c r="C27" s="80"/>
      <c r="D27" s="51"/>
      <c r="E27" s="59"/>
      <c r="F27" s="51"/>
      <c r="G27" s="59"/>
      <c r="H27" s="51"/>
      <c r="I27" s="59"/>
      <c r="J27" s="51"/>
    </row>
    <row r="28" spans="1:10" ht="24.95" customHeight="1" x14ac:dyDescent="0.25">
      <c r="A28" s="51" t="s">
        <v>53</v>
      </c>
      <c r="B28" s="51"/>
      <c r="I28" s="59"/>
      <c r="J28" s="51"/>
    </row>
    <row r="29" spans="1:10" ht="15" customHeight="1" x14ac:dyDescent="0.25">
      <c r="A29" s="51"/>
      <c r="B29" s="51"/>
      <c r="D29" s="58"/>
      <c r="G29" s="51"/>
      <c r="H29" s="58"/>
      <c r="I29" s="59"/>
      <c r="J29" s="51"/>
    </row>
    <row r="30" spans="1:10" ht="24.95" customHeight="1" x14ac:dyDescent="0.25">
      <c r="A30" s="51" t="s">
        <v>46</v>
      </c>
      <c r="B30" s="51"/>
      <c r="C30" s="104" t="s">
        <v>57</v>
      </c>
      <c r="E30" s="51" t="s">
        <v>47</v>
      </c>
      <c r="G30" s="51"/>
      <c r="H30" s="61"/>
      <c r="I30" s="51"/>
      <c r="J30" s="51"/>
    </row>
    <row r="31" spans="1:10" ht="15" customHeight="1" x14ac:dyDescent="0.25">
      <c r="A31" s="51"/>
      <c r="B31" s="51"/>
      <c r="C31" s="51"/>
      <c r="D31" s="60"/>
      <c r="E31" s="51"/>
      <c r="F31" s="51"/>
      <c r="G31" s="51"/>
      <c r="H31" s="51"/>
      <c r="I31" s="51"/>
      <c r="J31" s="51"/>
    </row>
    <row r="32" spans="1:10" ht="25.5" customHeight="1" x14ac:dyDescent="0.2">
      <c r="A32" s="51" t="s">
        <v>48</v>
      </c>
      <c r="B32" s="51"/>
      <c r="E32" s="66" t="s">
        <v>49</v>
      </c>
      <c r="F32" s="84"/>
      <c r="I32" s="51"/>
      <c r="J32" s="51"/>
    </row>
    <row r="33" spans="1:10" ht="15" customHeight="1" x14ac:dyDescent="0.2">
      <c r="A33" s="51"/>
      <c r="B33" s="51"/>
      <c r="E33" s="66"/>
      <c r="F33" s="84"/>
      <c r="I33" s="51"/>
      <c r="J33" s="51"/>
    </row>
    <row r="34" spans="1:10" ht="24.95" customHeight="1" x14ac:dyDescent="0.25">
      <c r="A34" s="51"/>
      <c r="B34" s="51"/>
      <c r="C34" s="51"/>
      <c r="D34" s="51"/>
      <c r="E34" s="51" t="s">
        <v>68</v>
      </c>
      <c r="F34" s="180"/>
      <c r="G34" s="180"/>
      <c r="H34" s="51"/>
      <c r="I34" s="51"/>
      <c r="J34" s="51"/>
    </row>
    <row r="35" spans="1:10" ht="15" customHeight="1" x14ac:dyDescent="0.25">
      <c r="C35" s="51"/>
      <c r="D35" s="62"/>
      <c r="E35" s="51"/>
      <c r="F35" s="181"/>
      <c r="G35" s="181"/>
      <c r="H35" s="59"/>
      <c r="I35" s="51"/>
      <c r="J35" s="51"/>
    </row>
    <row r="36" spans="1:10" ht="24.95" customHeight="1" x14ac:dyDescent="0.3">
      <c r="A36" s="66" t="s">
        <v>58</v>
      </c>
      <c r="B36" s="105" t="s">
        <v>69</v>
      </c>
      <c r="C36" s="106">
        <f>COUNTIFS('09.September Lohn'!F8:F38,"urlaub",'09.September Lohn'!F8:F38,"Urlaub")</f>
        <v>0</v>
      </c>
      <c r="D36" s="62"/>
      <c r="E36" s="51"/>
      <c r="F36" s="51"/>
      <c r="G36" s="51"/>
      <c r="H36" s="59"/>
      <c r="I36" s="51"/>
      <c r="J36" s="51"/>
    </row>
    <row r="37" spans="1:10" ht="15.75" customHeight="1" x14ac:dyDescent="0.3">
      <c r="A37" s="88"/>
      <c r="B37" s="105"/>
      <c r="C37" s="106"/>
      <c r="D37" s="62"/>
      <c r="E37" s="51"/>
      <c r="F37" s="51"/>
      <c r="G37" s="51"/>
      <c r="H37" s="59"/>
      <c r="I37" s="51"/>
      <c r="J37" s="51"/>
    </row>
    <row r="38" spans="1:10" ht="24.95" customHeight="1" x14ac:dyDescent="0.3">
      <c r="A38" s="51" t="s">
        <v>52</v>
      </c>
      <c r="B38" s="105" t="s">
        <v>69</v>
      </c>
      <c r="C38" s="106">
        <f>COUNTIFS('09.September Lohn'!F8:F38,"Krank",'09.September Lohn'!F8:F38,"krank")</f>
        <v>0</v>
      </c>
      <c r="D38" s="107"/>
      <c r="E38" s="63"/>
      <c r="F38" s="51"/>
      <c r="G38" s="51"/>
      <c r="H38" s="64"/>
      <c r="I38" s="51"/>
      <c r="J38" s="51"/>
    </row>
    <row r="39" spans="1:10" ht="15" customHeight="1" x14ac:dyDescent="0.35">
      <c r="C39" s="51"/>
      <c r="D39" s="108"/>
      <c r="E39" s="65"/>
      <c r="F39" s="65"/>
      <c r="G39" s="65"/>
      <c r="H39" s="65"/>
      <c r="I39" s="65"/>
      <c r="J39" s="51"/>
    </row>
    <row r="40" spans="1:10" ht="15" customHeight="1" x14ac:dyDescent="0.2">
      <c r="J40" s="51"/>
    </row>
    <row r="41" spans="1:10" ht="24.95" customHeight="1" x14ac:dyDescent="0.2">
      <c r="A41" s="51" t="s">
        <v>50</v>
      </c>
      <c r="B41" s="88"/>
      <c r="D41" s="89"/>
      <c r="E41" s="87"/>
      <c r="F41" s="87"/>
      <c r="G41" s="87"/>
      <c r="H41" s="51"/>
      <c r="I41" s="51"/>
      <c r="J41" s="51"/>
    </row>
    <row r="42" spans="1:10" ht="15" customHeight="1" x14ac:dyDescent="0.25">
      <c r="A42" s="88"/>
      <c r="B42" s="51"/>
      <c r="C42" s="78"/>
      <c r="D42" s="67"/>
      <c r="E42" s="67"/>
      <c r="F42" s="67"/>
      <c r="G42" s="67"/>
      <c r="H42" s="51"/>
      <c r="I42" s="51"/>
      <c r="J42" s="51"/>
    </row>
    <row r="43" spans="1:10" ht="24.95" customHeight="1" x14ac:dyDescent="0.25">
      <c r="A43" s="51" t="s">
        <v>51</v>
      </c>
      <c r="B43" s="51"/>
      <c r="C43" s="86" t="s">
        <v>57</v>
      </c>
      <c r="D43" s="85"/>
      <c r="E43" s="85"/>
      <c r="F43" s="85"/>
      <c r="G43" s="85"/>
      <c r="H43" s="85"/>
      <c r="I43" s="85"/>
      <c r="J43" s="51"/>
    </row>
    <row r="44" spans="1:10" ht="24.95" customHeight="1" x14ac:dyDescent="0.25">
      <c r="A44" s="51"/>
      <c r="B44" s="51"/>
      <c r="C44" s="86"/>
      <c r="D44" s="85"/>
      <c r="E44" s="85"/>
      <c r="F44" s="85"/>
      <c r="G44" s="85"/>
      <c r="H44" s="85"/>
      <c r="I44" s="85"/>
      <c r="J44" s="51"/>
    </row>
    <row r="45" spans="1:10" ht="24.95" customHeight="1" x14ac:dyDescent="0.25">
      <c r="A45" s="109"/>
      <c r="B45" s="51"/>
      <c r="C45" s="51"/>
      <c r="D45" s="76"/>
      <c r="E45" s="76"/>
      <c r="F45" s="76"/>
      <c r="G45" s="76"/>
      <c r="H45" s="76"/>
      <c r="I45" s="76"/>
      <c r="J45" s="51"/>
    </row>
    <row r="46" spans="1:10" ht="24.95" customHeight="1" x14ac:dyDescent="0.25">
      <c r="A46" s="51" t="s">
        <v>54</v>
      </c>
      <c r="B46" s="51"/>
      <c r="C46" s="110"/>
      <c r="D46" s="68"/>
      <c r="E46" s="74"/>
      <c r="F46" s="74"/>
      <c r="G46" s="74"/>
      <c r="H46" s="74"/>
      <c r="I46" s="74"/>
      <c r="J46" s="51"/>
    </row>
    <row r="47" spans="1:10" ht="24.95" customHeight="1" x14ac:dyDescent="0.25">
      <c r="A47" s="111"/>
      <c r="C47" s="73"/>
      <c r="D47" s="153"/>
      <c r="J47" s="51"/>
    </row>
    <row r="48" spans="1:10" ht="24.95" customHeight="1" x14ac:dyDescent="0.3">
      <c r="A48" s="111"/>
      <c r="B48" s="154"/>
      <c r="C48" s="154"/>
      <c r="D48" s="153"/>
      <c r="E48" s="155"/>
      <c r="J48" s="51"/>
    </row>
    <row r="49" spans="1:10" ht="24.95" customHeight="1" x14ac:dyDescent="0.3">
      <c r="A49" s="111"/>
      <c r="B49" s="153"/>
      <c r="C49" s="155"/>
      <c r="D49" s="155"/>
      <c r="E49" s="155"/>
      <c r="F49" s="51"/>
      <c r="G49" s="51"/>
      <c r="H49" s="51"/>
      <c r="I49" s="51"/>
      <c r="J49" s="51"/>
    </row>
    <row r="50" spans="1:10" ht="24.95" customHeight="1" x14ac:dyDescent="0.3">
      <c r="B50" s="153"/>
      <c r="C50" s="156"/>
      <c r="D50" s="157"/>
      <c r="E50" s="155"/>
      <c r="J50" s="51"/>
    </row>
    <row r="51" spans="1:10" ht="24.95" customHeight="1" x14ac:dyDescent="0.3">
      <c r="B51" s="157"/>
      <c r="C51" s="157"/>
      <c r="D51" s="157"/>
      <c r="J51" s="51"/>
    </row>
    <row r="52" spans="1:10" ht="24.95" customHeight="1" x14ac:dyDescent="0.2">
      <c r="J52" s="51"/>
    </row>
    <row r="53" spans="1:10" ht="24.9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4.9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14.25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</sheetData>
  <mergeCells count="2">
    <mergeCell ref="F34:G34"/>
    <mergeCell ref="F35:G35"/>
  </mergeCells>
  <pageMargins left="0.7" right="0.7" top="0.78740157499999996" bottom="0.78740157499999996" header="0.3" footer="0.3"/>
  <pageSetup paperSize="9" scale="63"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5121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390525</xdr:colOff>
                <xdr:row>6</xdr:row>
                <xdr:rowOff>0</xdr:rowOff>
              </to>
            </anchor>
          </objectPr>
        </oleObject>
      </mc:Choice>
      <mc:Fallback>
        <oleObject progId="Word.Picture.8" shapeId="512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77"/>
  <sheetViews>
    <sheetView tabSelected="1" topLeftCell="A13" zoomScale="85" zoomScaleNormal="85" workbookViewId="0">
      <selection activeCell="AC22" sqref="AC22"/>
    </sheetView>
  </sheetViews>
  <sheetFormatPr defaultColWidth="11.42578125" defaultRowHeight="12.75" x14ac:dyDescent="0.2"/>
  <cols>
    <col min="1" max="1" width="9" style="1" bestFit="1" customWidth="1"/>
    <col min="2" max="2" width="7.140625" style="34" customWidth="1"/>
    <col min="3" max="3" width="2.42578125" style="34" customWidth="1"/>
    <col min="4" max="4" width="9.7109375" style="34" customWidth="1"/>
    <col min="5" max="5" width="25.7109375" style="34" customWidth="1"/>
    <col min="6" max="6" width="29" style="1" customWidth="1"/>
    <col min="7" max="7" width="16.140625" style="2" bestFit="1" customWidth="1"/>
    <col min="8" max="8" width="9.5703125" style="2" customWidth="1"/>
    <col min="9" max="9" width="9" style="3" customWidth="1"/>
    <col min="10" max="10" width="8.5703125" style="1" customWidth="1"/>
    <col min="11" max="11" width="10.85546875" style="1" bestFit="1" customWidth="1"/>
    <col min="12" max="14" width="10.5703125" style="1" customWidth="1"/>
    <col min="15" max="15" width="9.140625" style="1" customWidth="1"/>
    <col min="16" max="16" width="11" style="1" customWidth="1"/>
    <col min="17" max="17" width="9.140625" style="1" customWidth="1"/>
    <col min="18" max="19" width="9.5703125" style="1" customWidth="1"/>
    <col min="20" max="20" width="9.140625" style="1" customWidth="1"/>
    <col min="21" max="22" width="9.140625" style="1" hidden="1" customWidth="1"/>
    <col min="23" max="23" width="8.42578125" style="1" hidden="1" customWidth="1"/>
    <col min="24" max="24" width="11.42578125" style="1" customWidth="1"/>
    <col min="25" max="73" width="10.7109375" style="1" customWidth="1"/>
    <col min="74" max="74" width="10.28515625" style="1" customWidth="1"/>
    <col min="75" max="79" width="11.42578125" style="1" customWidth="1"/>
    <col min="80" max="80" width="12.140625" style="1" customWidth="1"/>
    <col min="81" max="102" width="11.42578125" style="1" customWidth="1"/>
    <col min="103" max="16384" width="11.42578125" style="1"/>
  </cols>
  <sheetData>
    <row r="1" spans="1:108" ht="23.25" x14ac:dyDescent="0.35">
      <c r="B1" s="4"/>
      <c r="C1" s="4"/>
      <c r="D1" s="4"/>
      <c r="E1" s="4"/>
      <c r="F1" s="5" t="s">
        <v>1</v>
      </c>
      <c r="G1" s="6"/>
      <c r="H1" s="6"/>
      <c r="I1" s="7"/>
      <c r="L1" s="1" t="s">
        <v>5</v>
      </c>
      <c r="CI1" s="43" t="s">
        <v>31</v>
      </c>
    </row>
    <row r="2" spans="1:108" ht="24" thickBot="1" x14ac:dyDescent="0.4">
      <c r="B2" s="4"/>
      <c r="C2" s="4"/>
      <c r="D2" s="4"/>
      <c r="E2" s="4"/>
      <c r="F2" s="5"/>
      <c r="G2" s="6"/>
      <c r="H2" s="6"/>
      <c r="I2" s="7"/>
      <c r="P2" s="168"/>
      <c r="Q2" s="168"/>
      <c r="CI2" s="42" t="s">
        <v>0</v>
      </c>
    </row>
    <row r="3" spans="1:108" ht="16.5" thickTop="1" x14ac:dyDescent="0.25">
      <c r="B3" s="169" t="s">
        <v>10</v>
      </c>
      <c r="C3" s="169"/>
      <c r="D3" s="169"/>
      <c r="E3" s="169"/>
      <c r="F3" s="169"/>
      <c r="G3" s="169"/>
      <c r="H3" s="8"/>
      <c r="I3" s="9"/>
      <c r="J3" s="10"/>
      <c r="L3" s="11"/>
      <c r="M3" s="11"/>
      <c r="N3" s="11"/>
      <c r="P3" s="12"/>
      <c r="Q3" s="12"/>
      <c r="CI3" s="48" t="s">
        <v>28</v>
      </c>
    </row>
    <row r="4" spans="1:108" ht="15.75" customHeight="1" x14ac:dyDescent="0.2">
      <c r="C4" s="141"/>
      <c r="D4" s="141"/>
      <c r="E4" s="141"/>
      <c r="G4" s="141"/>
      <c r="H4" s="1"/>
      <c r="I4" s="50" t="e">
        <f>MONTH(1&amp;H5)</f>
        <v>#VALUE!</v>
      </c>
      <c r="BY4" s="13"/>
      <c r="CA4" s="14">
        <v>0.83333333333333337</v>
      </c>
      <c r="CB4" s="15" t="s">
        <v>11</v>
      </c>
      <c r="CC4" s="14">
        <v>0.25</v>
      </c>
      <c r="CI4" s="49" t="s">
        <v>29</v>
      </c>
    </row>
    <row r="5" spans="1:108" ht="15.75" x14ac:dyDescent="0.25">
      <c r="B5" s="141"/>
      <c r="C5" s="141" t="s">
        <v>101</v>
      </c>
      <c r="D5" s="141"/>
      <c r="E5" s="141" t="s">
        <v>103</v>
      </c>
      <c r="F5" s="141"/>
      <c r="G5" s="141"/>
      <c r="H5" s="170" t="s">
        <v>34</v>
      </c>
      <c r="I5" s="170"/>
      <c r="J5" s="16">
        <v>2026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CI5" s="49" t="s">
        <v>30</v>
      </c>
    </row>
    <row r="6" spans="1:108" x14ac:dyDescent="0.2">
      <c r="B6" s="171"/>
      <c r="C6" s="171"/>
      <c r="D6" s="171"/>
      <c r="E6" s="171"/>
      <c r="F6" s="171"/>
      <c r="G6" s="171"/>
      <c r="H6" s="69"/>
      <c r="I6" s="18"/>
      <c r="K6" s="19">
        <v>18.5</v>
      </c>
      <c r="L6" s="20">
        <f>K6</f>
        <v>18.5</v>
      </c>
      <c r="M6" s="20">
        <f>K6</f>
        <v>18.5</v>
      </c>
      <c r="N6" s="20">
        <f>K6</f>
        <v>18.5</v>
      </c>
      <c r="O6" s="20">
        <f>K6/100*25</f>
        <v>4.625</v>
      </c>
      <c r="P6" s="20">
        <f>K6/100*25</f>
        <v>4.625</v>
      </c>
      <c r="Q6" s="20">
        <f>K6/100*75</f>
        <v>13.875</v>
      </c>
      <c r="R6" s="20">
        <f>K6</f>
        <v>18.5</v>
      </c>
      <c r="S6" s="20">
        <v>30</v>
      </c>
      <c r="T6" s="20">
        <v>30</v>
      </c>
      <c r="U6" s="19"/>
      <c r="V6" s="19"/>
      <c r="W6" s="19"/>
      <c r="X6" s="20"/>
      <c r="CI6" s="22" t="s">
        <v>32</v>
      </c>
    </row>
    <row r="7" spans="1:108" s="146" customFormat="1" ht="30" customHeight="1" x14ac:dyDescent="0.2">
      <c r="A7" s="172" t="s">
        <v>2</v>
      </c>
      <c r="B7" s="173"/>
      <c r="C7" s="174"/>
      <c r="D7" s="147" t="s">
        <v>84</v>
      </c>
      <c r="E7" s="147" t="s">
        <v>74</v>
      </c>
      <c r="F7" s="147" t="s">
        <v>0</v>
      </c>
      <c r="G7" s="148" t="s">
        <v>102</v>
      </c>
      <c r="H7" s="175" t="s">
        <v>12</v>
      </c>
      <c r="I7" s="176"/>
      <c r="J7" s="140" t="s">
        <v>55</v>
      </c>
      <c r="K7" s="139" t="s">
        <v>3</v>
      </c>
      <c r="L7" s="148" t="s">
        <v>86</v>
      </c>
      <c r="M7" s="149" t="s">
        <v>87</v>
      </c>
      <c r="N7" s="148" t="s">
        <v>60</v>
      </c>
      <c r="O7" s="139" t="s">
        <v>90</v>
      </c>
      <c r="P7" s="139" t="s">
        <v>91</v>
      </c>
      <c r="Q7" s="139" t="s">
        <v>92</v>
      </c>
      <c r="R7" s="139" t="s">
        <v>4</v>
      </c>
      <c r="S7" s="148" t="s">
        <v>59</v>
      </c>
      <c r="T7" s="148" t="s">
        <v>9</v>
      </c>
      <c r="U7" s="139" t="s">
        <v>6</v>
      </c>
      <c r="V7" s="139" t="s">
        <v>7</v>
      </c>
      <c r="W7" s="139" t="s">
        <v>8</v>
      </c>
      <c r="X7" s="139" t="s">
        <v>13</v>
      </c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78" t="s">
        <v>14</v>
      </c>
      <c r="CA7" s="178"/>
      <c r="CB7" s="145"/>
      <c r="CC7" s="145"/>
      <c r="CD7" s="145"/>
      <c r="CE7" s="145"/>
      <c r="CF7" s="145"/>
      <c r="CG7" s="145"/>
      <c r="CH7" s="145"/>
      <c r="CI7" s="179" t="s">
        <v>33</v>
      </c>
      <c r="CJ7" s="179"/>
      <c r="CK7" s="179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</row>
    <row r="8" spans="1:108" ht="16.5" customHeight="1" x14ac:dyDescent="0.2">
      <c r="A8" s="72" t="e">
        <f>TEXT(B8,"TTT")</f>
        <v>#VALUE!</v>
      </c>
      <c r="B8" s="46" t="e">
        <f>DATE(J5,I4,1)</f>
        <v>#VALUE!</v>
      </c>
      <c r="C8" s="21" t="str">
        <f>IF(H8="","",IF(OR(H8&gt;=0.708333333333333,H8&lt;0.125),"N",""))</f>
        <v/>
      </c>
      <c r="D8" s="160"/>
      <c r="E8" s="160"/>
      <c r="F8" s="164"/>
      <c r="G8" s="163"/>
      <c r="H8" s="162"/>
      <c r="I8" s="162"/>
      <c r="J8" s="36" t="str">
        <f>IF(ISBLANK(H8),"",IF(MOD(I8-H8,1)*24&lt;9,0.5,IF(MOD(I8-H8,1)*24&gt;12.5,1,0.75)))</f>
        <v/>
      </c>
      <c r="K8" s="44" t="str">
        <f t="shared" ref="K8:K38" si="0">IF(F8="Ausfall",6,IF(ISBLANK(H8),"",MOD(I8-H8,1)*24-J8))</f>
        <v/>
      </c>
      <c r="L8" s="37"/>
      <c r="M8" s="152"/>
      <c r="N8" s="37"/>
      <c r="O8" s="38" t="str">
        <f>IFERROR(+MIN(IF(OR(H8="",I8=""),"",(MAX(,MIN(I8-(J8/24)+(H8&gt;I8-(J8/24)),MAX(($CA$4&gt;$CC$4),$CC$4))-MAX(H8,$CA$4))+MAX(,MIN(I8-(J8/24),MAX(($CA$4&gt;$CC$4),$CC$4))-MAX(,$CA$4))*(H8&gt;I8-(J8/24))+MAX(,MIN(I8-(J8/24)+(H8&gt;I8-(J8/24)),MIN(($CA$4&gt;$CC$4),$CC$4))-MAX(H8,))+MIN(I8-(J8/24),MIN(($CA$4&gt;$CC$4),$CC$4))*(H8&gt;I8-(J8/24)))*24),8),"")</f>
        <v/>
      </c>
      <c r="P8" s="38" t="str">
        <f>IFERROR(IF(H8&lt;0.0451388888888889,IF(AND(WEEKDAY(B9)&gt;0,WEEKDAY(B9)&lt;6),0,IF(AND(WEEKDAY(B9)=7,H8&lt;BW8),K8/24,IF(AND(WEEKDAY(B9)=7,H8&gt;BW8),"24:00"-H8,IF(AND(WEEKDAY(B9)=6,BW8&gt;H8),0,BW8)))*24),IF(AND(WEEKDAY(B8)&gt;0,WEEKDAY(B8)&lt;6),0,IF(AND(WEEKDAY(B8)=7,BX8="",H8&lt;BW8),K8/24,IF(AND(WEEKDAY(B8)=7,H8&gt;BW8),"24:00"-H8,IF(AND(WEEKDAY(B8)=6,BX9="",BW8&lt;H8),BW8,0)))*24)),"")</f>
        <v/>
      </c>
      <c r="Q8" s="38" t="str">
        <f>IFERROR(IF(H8&lt;0.0451388888888889,IF(AND(WEEKDAY(B9)&gt;1,WEEKDAY(B9)&lt;7),0,IF(AND(WEEKDAY(B9)=1,H8&lt;BW8),K8/24,IF(AND(WEEKDAY(B9)=1,H8&gt;BW8),"24:00"-H8,IF(AND(WEEKDAY(B9)=7,BW8&gt;H8),0,BW8)))*24),IF(AND(WEEKDAY(B8)&gt;1,WEEKDAY(B8)&lt;7),0,IF(AND(WEEKDAY(B8)=1,BX8="",H8&lt;BW8),K8/24,IF(AND(WEEKDAY(B8)=1,H8&gt;BW8),"24:00"-H8,IF(AND(WEEKDAY(B8)=7,BX9="",BW8&lt;H8),BW8,0)))*24)),"")</f>
        <v/>
      </c>
      <c r="R8" s="38" t="str">
        <f>IFERROR(IF(AND(BX8="",BX9=""),"",IF(AND(BX8="x",BX9="x"),K8,IF(BX8="x",IF(H8&gt;BW8,"24:00"-H8,BW8-H8)*24,IF(AND(BX9="x",H8&gt;I8),BW8*24,"")))),"")</f>
        <v/>
      </c>
      <c r="S8" s="38"/>
      <c r="T8" s="37"/>
      <c r="U8" s="37"/>
      <c r="V8" s="37"/>
      <c r="W8" s="37"/>
      <c r="X8" s="44" t="str">
        <f t="shared" ref="X8:X38" si="1">IFERROR(IF(OR(F8="Urlaub",F8="Krank",F8="AZK"),8,IF(OR(F8="Urlaub 50%",F8="AZK 50%"),4,IF(AND(F8="",BX8="x"),8,K8))),"")</f>
        <v/>
      </c>
      <c r="BR8" s="2"/>
      <c r="BV8" s="39" t="str">
        <f t="shared" ref="BV8:BV38" si="2">IF(L8="","",(L8/2-1)*2)</f>
        <v/>
      </c>
      <c r="BW8" s="14" t="str">
        <f t="shared" ref="BW8:BW38" si="3">IFERROR(I8-(J8/24),"")</f>
        <v/>
      </c>
      <c r="BX8" s="2" t="str">
        <f>IF(ISERROR(VLOOKUP(B8,CB9:CB177,1,FALSE)),"","x")</f>
        <v/>
      </c>
      <c r="CB8" s="2"/>
      <c r="CC8" s="2"/>
      <c r="CD8" s="2"/>
      <c r="CE8" s="2" t="s">
        <v>116</v>
      </c>
      <c r="CF8" s="2">
        <v>2020</v>
      </c>
      <c r="CG8" s="2"/>
      <c r="CH8" s="2"/>
      <c r="CI8" s="2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</row>
    <row r="9" spans="1:108" ht="17.100000000000001" customHeight="1" x14ac:dyDescent="0.2">
      <c r="A9" s="41" t="e">
        <f t="shared" ref="A9:A38" si="4">TEXT(B9,"TTT")</f>
        <v>#VALUE!</v>
      </c>
      <c r="B9" s="46" t="e">
        <f>B8+1</f>
        <v>#VALUE!</v>
      </c>
      <c r="C9" s="21" t="str">
        <f t="shared" ref="C9:C38" si="5">IF(H9="","",IF(OR(H9&gt;=0.708333333333333,H9&lt;0.125),"N",""))</f>
        <v/>
      </c>
      <c r="D9" s="160"/>
      <c r="E9" s="160"/>
      <c r="F9" s="164"/>
      <c r="G9" s="163"/>
      <c r="H9" s="162"/>
      <c r="I9" s="162"/>
      <c r="J9" s="36" t="str">
        <f t="shared" ref="J9:J38" si="6">IF(ISBLANK(H9),"",IF(MOD(I9-H9,1)*24&lt;9,0.5,IF(MOD(I9-H9,1)*24&gt;12.5,1,0.75)))</f>
        <v/>
      </c>
      <c r="K9" s="44" t="str">
        <f t="shared" si="0"/>
        <v/>
      </c>
      <c r="L9" s="37"/>
      <c r="M9" s="152"/>
      <c r="N9" s="37"/>
      <c r="O9" s="38" t="str">
        <f t="shared" ref="O9:O31" si="7">IFERROR(+MIN(IF(OR(H9="",I9=""),"",(MAX(,MIN(I9-(J9/24)+(H9&gt;I9-(J9/24)),MAX(($CA$4&gt;$CC$4),$CC$4))-MAX(H9,$CA$4))+MAX(,MIN(I9-(J9/24),MAX(($CA$4&gt;$CC$4),$CC$4))-MAX(,$CA$4))*(H9&gt;I9-(J9/24))+MAX(,MIN(I9-(J9/24)+(H9&gt;I9-(J9/24)),MIN(($CA$4&gt;$CC$4),$CC$4))-MAX(H9,))+MIN(I9-(J9/24),MIN(($CA$4&gt;$CC$4),$CC$4))*(H9&gt;I9-(J9/24)))*24),8),"")</f>
        <v/>
      </c>
      <c r="P9" s="38" t="str">
        <f t="shared" ref="P9:P38" si="8">IFERROR(IF(H9&lt;0.0451388888888889,IF(AND(WEEKDAY(B10)&gt;0,WEEKDAY(B10)&lt;6),0,IF(AND(WEEKDAY(B10)=7,H9&lt;BW9),K9/24,IF(AND(WEEKDAY(B10)=7,H9&gt;BW9),"24:00"-H9,IF(AND(WEEKDAY(B10)=6,BW9&gt;H9),0,BW9)))*24),IF(AND(WEEKDAY(B9)&gt;0,WEEKDAY(B9)&lt;6),0,IF(AND(WEEKDAY(B9)=7,BX9="",H9&lt;BW9),K9/24,IF(AND(WEEKDAY(B9)=7,H9&gt;BW9),"24:00"-H9,IF(AND(WEEKDAY(B9)=6,BX10="",BW9&lt;H9),BW9,0)))*24)),"")</f>
        <v/>
      </c>
      <c r="Q9" s="38" t="str">
        <f t="shared" ref="Q9:Q38" si="9">IFERROR(IF(H9&lt;0.0451388888888889,IF(AND(WEEKDAY(B10)&gt;1,WEEKDAY(B10)&lt;7),0,IF(AND(WEEKDAY(B10)=1,H9&lt;BW9),K9/24,IF(AND(WEEKDAY(B10)=1,H9&gt;BW9),"24:00"-H9,IF(AND(WEEKDAY(B10)=7,BW9&gt;H9),0,BW9)))*24),IF(AND(WEEKDAY(B9)&gt;1,WEEKDAY(B9)&lt;7),0,IF(AND(WEEKDAY(B9)=1,BX9="",H9&lt;BW9),K9/24,IF(AND(WEEKDAY(B9)=1,H9&gt;BW9),"24:00"-H9,IF(AND(WEEKDAY(B9)=7,BX10="",BW9&lt;H9),BW9,0)))*24)),"")</f>
        <v/>
      </c>
      <c r="R9" s="38" t="str">
        <f t="shared" ref="R9:R38" si="10">IFERROR(IF(AND(BX9="",BX10=""),"",IF(AND(BX9="x",BX10="x"),K9,IF(BX9="x",IF(H9&gt;BW9,"24:00"-H9,BW9-H9)*24,IF(AND(BX10="x",H9&gt;I9),BW9*24,"")))),"")</f>
        <v/>
      </c>
      <c r="S9" s="38"/>
      <c r="T9" s="37"/>
      <c r="U9" s="37"/>
      <c r="V9" s="37"/>
      <c r="W9" s="37"/>
      <c r="X9" s="44" t="str">
        <f t="shared" si="1"/>
        <v/>
      </c>
      <c r="BV9" s="39" t="str">
        <f t="shared" si="2"/>
        <v/>
      </c>
      <c r="BW9" s="14" t="str">
        <f>IFERROR(I9-(J9/24),"")</f>
        <v/>
      </c>
      <c r="BX9" s="2" t="str">
        <f>IF(ISERROR(VLOOKUP(B9,CB9:CB177,1,FALSE)),"","x")</f>
        <v/>
      </c>
      <c r="BZ9" s="1" t="s">
        <v>15</v>
      </c>
      <c r="CB9" s="22">
        <v>43466</v>
      </c>
      <c r="CC9" s="22"/>
      <c r="CD9" s="22"/>
      <c r="CE9" s="40" t="s">
        <v>117</v>
      </c>
      <c r="CF9" s="40">
        <v>2021</v>
      </c>
      <c r="CG9" s="22"/>
      <c r="CH9" s="22"/>
      <c r="CI9" s="2"/>
      <c r="CJ9" s="22"/>
      <c r="CK9" s="22"/>
      <c r="CL9" s="22"/>
      <c r="CM9" s="22"/>
      <c r="CN9" s="22"/>
    </row>
    <row r="10" spans="1:108" ht="17.100000000000001" customHeight="1" x14ac:dyDescent="0.2">
      <c r="A10" s="41" t="e">
        <f t="shared" si="4"/>
        <v>#VALUE!</v>
      </c>
      <c r="B10" s="46" t="e">
        <f>B9+1</f>
        <v>#VALUE!</v>
      </c>
      <c r="C10" s="21" t="str">
        <f t="shared" si="5"/>
        <v/>
      </c>
      <c r="D10" s="160"/>
      <c r="E10" s="160"/>
      <c r="F10" s="164"/>
      <c r="G10" s="163"/>
      <c r="H10" s="162"/>
      <c r="I10" s="162"/>
      <c r="J10" s="36" t="str">
        <f t="shared" si="6"/>
        <v/>
      </c>
      <c r="K10" s="44" t="str">
        <f t="shared" si="0"/>
        <v/>
      </c>
      <c r="L10" s="37"/>
      <c r="M10" s="152"/>
      <c r="N10" s="37"/>
      <c r="O10" s="38" t="str">
        <f t="shared" si="7"/>
        <v/>
      </c>
      <c r="P10" s="38" t="str">
        <f t="shared" si="8"/>
        <v/>
      </c>
      <c r="Q10" s="38" t="str">
        <f t="shared" si="9"/>
        <v/>
      </c>
      <c r="R10" s="38" t="str">
        <f t="shared" si="10"/>
        <v/>
      </c>
      <c r="S10" s="38"/>
      <c r="T10" s="37"/>
      <c r="U10" s="37"/>
      <c r="V10" s="37"/>
      <c r="W10" s="37"/>
      <c r="X10" s="44" t="str">
        <f t="shared" si="1"/>
        <v/>
      </c>
      <c r="BV10" s="39" t="str">
        <f t="shared" si="2"/>
        <v/>
      </c>
      <c r="BW10" s="14" t="str">
        <f t="shared" si="3"/>
        <v/>
      </c>
      <c r="BX10" s="2" t="str">
        <f>IF(ISERROR(VLOOKUP(B10,CB9:CB177,1,FALSE)),"","x")</f>
        <v/>
      </c>
      <c r="BZ10" s="1" t="s">
        <v>16</v>
      </c>
      <c r="CB10" s="22">
        <v>43574</v>
      </c>
      <c r="CC10" s="22"/>
      <c r="CD10" s="22"/>
      <c r="CE10" s="2" t="s">
        <v>118</v>
      </c>
      <c r="CF10" s="2">
        <v>2022</v>
      </c>
      <c r="CG10" s="22"/>
      <c r="CH10" s="22"/>
      <c r="CI10" s="22"/>
      <c r="CJ10" s="22"/>
      <c r="CK10" s="22"/>
      <c r="CL10" s="22"/>
      <c r="CM10" s="22"/>
      <c r="CN10" s="22"/>
    </row>
    <row r="11" spans="1:108" ht="17.100000000000001" customHeight="1" x14ac:dyDescent="0.2">
      <c r="A11" s="41" t="e">
        <f t="shared" si="4"/>
        <v>#VALUE!</v>
      </c>
      <c r="B11" s="46" t="e">
        <f t="shared" ref="B11:B35" si="11">B10+1</f>
        <v>#VALUE!</v>
      </c>
      <c r="C11" s="21" t="str">
        <f t="shared" si="5"/>
        <v/>
      </c>
      <c r="D11" s="160"/>
      <c r="E11" s="160" t="s">
        <v>106</v>
      </c>
      <c r="F11" s="164" t="s">
        <v>113</v>
      </c>
      <c r="G11" s="163" t="s">
        <v>112</v>
      </c>
      <c r="H11" s="162">
        <v>0.29166666666666669</v>
      </c>
      <c r="I11" s="162">
        <v>0.73958333333333337</v>
      </c>
      <c r="J11" s="36">
        <f t="shared" si="6"/>
        <v>0.75</v>
      </c>
      <c r="K11" s="44">
        <f t="shared" si="0"/>
        <v>10</v>
      </c>
      <c r="L11" s="37">
        <v>280</v>
      </c>
      <c r="M11" s="152"/>
      <c r="N11" s="37"/>
      <c r="O11" s="38">
        <f t="shared" si="7"/>
        <v>0</v>
      </c>
      <c r="P11" s="38" t="str">
        <f t="shared" si="8"/>
        <v/>
      </c>
      <c r="Q11" s="38" t="str">
        <f t="shared" si="9"/>
        <v/>
      </c>
      <c r="R11" s="38" t="str">
        <f t="shared" si="10"/>
        <v/>
      </c>
      <c r="S11" s="38"/>
      <c r="T11" s="37"/>
      <c r="U11" s="37"/>
      <c r="V11" s="37"/>
      <c r="W11" s="37"/>
      <c r="X11" s="44">
        <f t="shared" si="1"/>
        <v>10</v>
      </c>
      <c r="BV11" s="39">
        <f t="shared" si="2"/>
        <v>278</v>
      </c>
      <c r="BW11" s="14">
        <f t="shared" si="3"/>
        <v>0.70833333333333337</v>
      </c>
      <c r="BX11" s="2" t="str">
        <f>IF(ISERROR(VLOOKUP(B11,CB9:CB177,1,FALSE)),"","x")</f>
        <v/>
      </c>
      <c r="BZ11" s="1" t="s">
        <v>17</v>
      </c>
      <c r="CB11" s="22">
        <v>43576</v>
      </c>
      <c r="CC11" s="22"/>
      <c r="CD11" s="22"/>
      <c r="CE11" s="40" t="s">
        <v>119</v>
      </c>
      <c r="CF11" s="40">
        <v>2023</v>
      </c>
      <c r="CG11" s="22"/>
      <c r="CH11" s="22"/>
      <c r="CI11" s="22"/>
      <c r="CJ11" s="22"/>
      <c r="CK11" s="22"/>
      <c r="CL11" s="22"/>
      <c r="CM11" s="22"/>
      <c r="CN11" s="22"/>
    </row>
    <row r="12" spans="1:108" ht="17.100000000000001" customHeight="1" x14ac:dyDescent="0.2">
      <c r="A12" s="41" t="e">
        <f t="shared" si="4"/>
        <v>#VALUE!</v>
      </c>
      <c r="B12" s="46" t="e">
        <f t="shared" si="11"/>
        <v>#VALUE!</v>
      </c>
      <c r="C12" s="21" t="str">
        <f t="shared" si="5"/>
        <v/>
      </c>
      <c r="D12" s="160"/>
      <c r="E12" s="160"/>
      <c r="F12" s="164"/>
      <c r="G12" s="163"/>
      <c r="H12" s="162"/>
      <c r="I12" s="162"/>
      <c r="J12" s="36" t="str">
        <f t="shared" si="6"/>
        <v/>
      </c>
      <c r="K12" s="44" t="str">
        <f t="shared" si="0"/>
        <v/>
      </c>
      <c r="L12" s="37"/>
      <c r="M12" s="152"/>
      <c r="N12" s="37"/>
      <c r="O12" s="38" t="str">
        <f t="shared" si="7"/>
        <v/>
      </c>
      <c r="P12" s="38" t="str">
        <f t="shared" si="8"/>
        <v/>
      </c>
      <c r="Q12" s="38" t="str">
        <f t="shared" si="9"/>
        <v/>
      </c>
      <c r="R12" s="38" t="str">
        <f t="shared" si="10"/>
        <v/>
      </c>
      <c r="S12" s="38"/>
      <c r="T12" s="37"/>
      <c r="U12" s="37"/>
      <c r="V12" s="37"/>
      <c r="W12" s="37"/>
      <c r="X12" s="44" t="str">
        <f t="shared" si="1"/>
        <v/>
      </c>
      <c r="BV12" s="39" t="str">
        <f t="shared" si="2"/>
        <v/>
      </c>
      <c r="BW12" s="14" t="str">
        <f t="shared" si="3"/>
        <v/>
      </c>
      <c r="BX12" s="2" t="str">
        <f>IF(ISERROR(VLOOKUP(B12,CB9:CB177,1,FALSE)),"","x")</f>
        <v/>
      </c>
      <c r="BZ12" s="1" t="s">
        <v>18</v>
      </c>
      <c r="CB12" s="22">
        <v>43577</v>
      </c>
      <c r="CC12" s="22"/>
      <c r="CD12" s="22"/>
      <c r="CE12" s="2" t="s">
        <v>120</v>
      </c>
      <c r="CF12" s="2">
        <v>2024</v>
      </c>
      <c r="CG12" s="22"/>
      <c r="CH12" s="22"/>
      <c r="CI12" s="22"/>
      <c r="CJ12" s="22"/>
      <c r="CK12" s="22"/>
      <c r="CL12" s="22"/>
      <c r="CM12" s="22"/>
      <c r="CN12" s="22"/>
    </row>
    <row r="13" spans="1:108" ht="17.100000000000001" customHeight="1" x14ac:dyDescent="0.2">
      <c r="A13" s="41" t="e">
        <f t="shared" si="4"/>
        <v>#VALUE!</v>
      </c>
      <c r="B13" s="46" t="e">
        <f t="shared" si="11"/>
        <v>#VALUE!</v>
      </c>
      <c r="C13" s="21" t="str">
        <f t="shared" si="5"/>
        <v/>
      </c>
      <c r="D13" s="160"/>
      <c r="E13" s="160"/>
      <c r="F13" s="164"/>
      <c r="G13" s="163"/>
      <c r="H13" s="162"/>
      <c r="I13" s="162"/>
      <c r="J13" s="36" t="str">
        <f t="shared" si="6"/>
        <v/>
      </c>
      <c r="K13" s="44" t="str">
        <f t="shared" si="0"/>
        <v/>
      </c>
      <c r="L13" s="37"/>
      <c r="M13" s="152"/>
      <c r="N13" s="37"/>
      <c r="O13" s="38" t="str">
        <f t="shared" si="7"/>
        <v/>
      </c>
      <c r="P13" s="38" t="str">
        <f t="shared" si="8"/>
        <v/>
      </c>
      <c r="Q13" s="38" t="str">
        <f t="shared" si="9"/>
        <v/>
      </c>
      <c r="R13" s="38" t="str">
        <f t="shared" si="10"/>
        <v/>
      </c>
      <c r="S13" s="38"/>
      <c r="T13" s="37"/>
      <c r="U13" s="37"/>
      <c r="V13" s="37"/>
      <c r="W13" s="37"/>
      <c r="X13" s="44" t="str">
        <f t="shared" si="1"/>
        <v/>
      </c>
      <c r="BV13" s="39" t="str">
        <f t="shared" si="2"/>
        <v/>
      </c>
      <c r="BW13" s="14" t="str">
        <f t="shared" si="3"/>
        <v/>
      </c>
      <c r="BX13" s="2" t="str">
        <f>IF(ISERROR(VLOOKUP(B13,CB9:CB177,1,FALSE)),"","x")</f>
        <v/>
      </c>
      <c r="BZ13" s="1" t="s">
        <v>19</v>
      </c>
      <c r="CB13" s="22">
        <v>43586</v>
      </c>
      <c r="CC13" s="22"/>
      <c r="CD13" s="22"/>
      <c r="CE13" s="40" t="s">
        <v>121</v>
      </c>
      <c r="CF13" s="40">
        <v>2025</v>
      </c>
      <c r="CG13" s="22"/>
      <c r="CH13" s="22"/>
      <c r="CI13" s="22"/>
      <c r="CJ13" s="22"/>
      <c r="CK13" s="22"/>
      <c r="CL13" s="22"/>
      <c r="CM13" s="22"/>
      <c r="CN13" s="22"/>
    </row>
    <row r="14" spans="1:108" ht="17.100000000000001" customHeight="1" x14ac:dyDescent="0.2">
      <c r="A14" s="41" t="e">
        <f t="shared" si="4"/>
        <v>#VALUE!</v>
      </c>
      <c r="B14" s="46" t="e">
        <f t="shared" si="11"/>
        <v>#VALUE!</v>
      </c>
      <c r="C14" s="21" t="str">
        <f t="shared" si="5"/>
        <v/>
      </c>
      <c r="D14" s="160"/>
      <c r="E14" s="160" t="s">
        <v>107</v>
      </c>
      <c r="F14" s="164" t="s">
        <v>113</v>
      </c>
      <c r="G14" s="163"/>
      <c r="H14" s="162">
        <v>0.29166666666666669</v>
      </c>
      <c r="I14" s="162">
        <v>0.78125</v>
      </c>
      <c r="J14" s="36">
        <f t="shared" si="6"/>
        <v>0.75</v>
      </c>
      <c r="K14" s="44">
        <f t="shared" si="0"/>
        <v>11</v>
      </c>
      <c r="L14" s="37">
        <v>160</v>
      </c>
      <c r="M14" s="152"/>
      <c r="N14" s="37"/>
      <c r="O14" s="38">
        <f t="shared" si="7"/>
        <v>0</v>
      </c>
      <c r="P14" s="38" t="str">
        <f t="shared" si="8"/>
        <v/>
      </c>
      <c r="Q14" s="38" t="str">
        <f t="shared" si="9"/>
        <v/>
      </c>
      <c r="R14" s="38" t="str">
        <f t="shared" si="10"/>
        <v/>
      </c>
      <c r="S14" s="38"/>
      <c r="T14" s="37"/>
      <c r="U14" s="37"/>
      <c r="V14" s="37"/>
      <c r="W14" s="37"/>
      <c r="X14" s="44">
        <f t="shared" si="1"/>
        <v>11</v>
      </c>
      <c r="BV14" s="39">
        <f t="shared" si="2"/>
        <v>158</v>
      </c>
      <c r="BW14" s="14">
        <f t="shared" si="3"/>
        <v>0.75</v>
      </c>
      <c r="BX14" s="2" t="str">
        <f>IF(ISERROR(VLOOKUP(B14,CB9:CB177,1,FALSE)),"","x")</f>
        <v/>
      </c>
      <c r="BZ14" s="1" t="s">
        <v>20</v>
      </c>
      <c r="CB14" s="22">
        <v>43615</v>
      </c>
      <c r="CC14" s="22"/>
      <c r="CD14" s="22"/>
      <c r="CE14" s="2" t="s">
        <v>122</v>
      </c>
      <c r="CF14" s="2">
        <v>2026</v>
      </c>
      <c r="CG14" s="22"/>
      <c r="CH14" s="22"/>
      <c r="CI14" s="22"/>
      <c r="CJ14" s="22"/>
      <c r="CK14" s="22"/>
      <c r="CL14" s="22"/>
      <c r="CM14" s="22"/>
      <c r="CN14" s="22"/>
    </row>
    <row r="15" spans="1:108" ht="17.100000000000001" customHeight="1" x14ac:dyDescent="0.2">
      <c r="A15" s="41" t="e">
        <f t="shared" si="4"/>
        <v>#VALUE!</v>
      </c>
      <c r="B15" s="46" t="e">
        <f t="shared" si="11"/>
        <v>#VALUE!</v>
      </c>
      <c r="C15" s="21" t="str">
        <f t="shared" si="5"/>
        <v>N</v>
      </c>
      <c r="D15" s="160"/>
      <c r="E15" s="160" t="s">
        <v>108</v>
      </c>
      <c r="F15" s="164" t="s">
        <v>114</v>
      </c>
      <c r="G15" s="163"/>
      <c r="H15" s="162">
        <v>0.91666666666666663</v>
      </c>
      <c r="I15" s="162">
        <v>0.40625</v>
      </c>
      <c r="J15" s="36">
        <f t="shared" si="6"/>
        <v>0.75</v>
      </c>
      <c r="K15" s="44">
        <f t="shared" si="0"/>
        <v>11</v>
      </c>
      <c r="L15" s="37">
        <v>510</v>
      </c>
      <c r="M15" s="152"/>
      <c r="N15" s="37"/>
      <c r="O15" s="38">
        <f t="shared" si="7"/>
        <v>8</v>
      </c>
      <c r="P15" s="38" t="str">
        <f t="shared" si="8"/>
        <v/>
      </c>
      <c r="Q15" s="38" t="str">
        <f t="shared" si="9"/>
        <v/>
      </c>
      <c r="R15" s="38" t="str">
        <f t="shared" si="10"/>
        <v/>
      </c>
      <c r="S15" s="38"/>
      <c r="T15" s="37"/>
      <c r="U15" s="37"/>
      <c r="V15" s="37"/>
      <c r="W15" s="37"/>
      <c r="X15" s="44">
        <f t="shared" si="1"/>
        <v>11</v>
      </c>
      <c r="BV15" s="39">
        <f t="shared" si="2"/>
        <v>508</v>
      </c>
      <c r="BW15" s="14">
        <f t="shared" si="3"/>
        <v>0.375</v>
      </c>
      <c r="BX15" s="2" t="str">
        <f>IF(ISERROR(VLOOKUP(B15,CB9:CB177,1,FALSE)),"","x")</f>
        <v/>
      </c>
      <c r="BZ15" s="1" t="s">
        <v>21</v>
      </c>
      <c r="CB15" s="22">
        <v>43625</v>
      </c>
      <c r="CC15" s="22"/>
      <c r="CD15" s="22"/>
      <c r="CE15" s="40" t="s">
        <v>123</v>
      </c>
      <c r="CF15" s="40">
        <v>2027</v>
      </c>
      <c r="CG15" s="22"/>
      <c r="CH15" s="22"/>
      <c r="CI15" s="22"/>
      <c r="CJ15" s="22"/>
      <c r="CK15" s="22"/>
      <c r="CL15" s="22"/>
      <c r="CM15" s="22"/>
      <c r="CN15" s="22"/>
    </row>
    <row r="16" spans="1:108" ht="17.100000000000001" customHeight="1" x14ac:dyDescent="0.2">
      <c r="A16" s="41" t="e">
        <f t="shared" si="4"/>
        <v>#VALUE!</v>
      </c>
      <c r="B16" s="46" t="e">
        <f t="shared" si="11"/>
        <v>#VALUE!</v>
      </c>
      <c r="C16" s="21" t="str">
        <f t="shared" si="5"/>
        <v>N</v>
      </c>
      <c r="D16" s="160"/>
      <c r="E16" s="160" t="s">
        <v>108</v>
      </c>
      <c r="F16" s="164"/>
      <c r="G16" s="163"/>
      <c r="H16" s="162">
        <v>0.95833333333333337</v>
      </c>
      <c r="I16" s="162">
        <v>0.36458333333333331</v>
      </c>
      <c r="J16" s="36">
        <f t="shared" si="6"/>
        <v>0.75</v>
      </c>
      <c r="K16" s="44">
        <f t="shared" si="0"/>
        <v>9</v>
      </c>
      <c r="L16" s="37"/>
      <c r="M16" s="152"/>
      <c r="N16" s="37"/>
      <c r="O16" s="38">
        <f t="shared" si="7"/>
        <v>6.9999999999999991</v>
      </c>
      <c r="P16" s="38" t="str">
        <f t="shared" si="8"/>
        <v/>
      </c>
      <c r="Q16" s="38" t="str">
        <f t="shared" si="9"/>
        <v/>
      </c>
      <c r="R16" s="38" t="str">
        <f t="shared" si="10"/>
        <v/>
      </c>
      <c r="S16" s="38"/>
      <c r="T16" s="37"/>
      <c r="U16" s="37"/>
      <c r="V16" s="37"/>
      <c r="W16" s="37"/>
      <c r="X16" s="44">
        <f t="shared" si="1"/>
        <v>9</v>
      </c>
      <c r="BV16" s="39" t="str">
        <f t="shared" si="2"/>
        <v/>
      </c>
      <c r="BW16" s="14">
        <f t="shared" si="3"/>
        <v>0.33333333333333331</v>
      </c>
      <c r="BX16" s="2" t="str">
        <f>IF(ISERROR(VLOOKUP(B16,CB9:CB177,1,FALSE)),"","x")</f>
        <v/>
      </c>
      <c r="BZ16" s="1" t="s">
        <v>22</v>
      </c>
      <c r="CB16" s="22">
        <v>43626</v>
      </c>
      <c r="CC16" s="22"/>
      <c r="CD16" s="22"/>
      <c r="CE16" s="2" t="s">
        <v>34</v>
      </c>
      <c r="CF16" s="2">
        <v>2028</v>
      </c>
      <c r="CG16" s="22"/>
      <c r="CH16" s="22"/>
      <c r="CI16" s="22"/>
      <c r="CJ16" s="22"/>
      <c r="CK16" s="22"/>
      <c r="CL16" s="22"/>
      <c r="CM16" s="22"/>
      <c r="CN16" s="22"/>
    </row>
    <row r="17" spans="1:92" ht="17.100000000000001" customHeight="1" x14ac:dyDescent="0.2">
      <c r="A17" s="41" t="e">
        <f t="shared" si="4"/>
        <v>#VALUE!</v>
      </c>
      <c r="B17" s="46" t="e">
        <f t="shared" si="11"/>
        <v>#VALUE!</v>
      </c>
      <c r="C17" s="21" t="str">
        <f t="shared" si="5"/>
        <v>N</v>
      </c>
      <c r="D17" s="160"/>
      <c r="E17" s="160" t="s">
        <v>108</v>
      </c>
      <c r="F17" s="164"/>
      <c r="G17" s="163"/>
      <c r="H17" s="162">
        <v>0.83333333333333337</v>
      </c>
      <c r="I17" s="162">
        <v>0.28125</v>
      </c>
      <c r="J17" s="36">
        <f t="shared" si="6"/>
        <v>0.75</v>
      </c>
      <c r="K17" s="44">
        <f t="shared" si="0"/>
        <v>10</v>
      </c>
      <c r="L17" s="37"/>
      <c r="M17" s="152"/>
      <c r="N17" s="37"/>
      <c r="O17" s="38">
        <f t="shared" si="7"/>
        <v>8</v>
      </c>
      <c r="P17" s="38" t="str">
        <f t="shared" si="8"/>
        <v/>
      </c>
      <c r="Q17" s="38" t="str">
        <f t="shared" si="9"/>
        <v/>
      </c>
      <c r="R17" s="38" t="str">
        <f t="shared" si="10"/>
        <v/>
      </c>
      <c r="S17" s="38"/>
      <c r="T17" s="37"/>
      <c r="U17" s="37"/>
      <c r="V17" s="37"/>
      <c r="W17" s="37"/>
      <c r="X17" s="44">
        <f t="shared" si="1"/>
        <v>10</v>
      </c>
      <c r="BV17" s="39" t="str">
        <f t="shared" si="2"/>
        <v/>
      </c>
      <c r="BW17" s="14">
        <f t="shared" si="3"/>
        <v>0.25</v>
      </c>
      <c r="BX17" s="2" t="str">
        <f>IF(ISERROR(VLOOKUP(B17,CB9:CB177,1,FALSE)),"","x")</f>
        <v/>
      </c>
      <c r="BZ17" s="1" t="s">
        <v>23</v>
      </c>
      <c r="CB17" s="22">
        <v>43636</v>
      </c>
      <c r="CC17" s="22"/>
      <c r="CD17" s="22"/>
      <c r="CE17" s="40" t="s">
        <v>124</v>
      </c>
      <c r="CF17" s="40">
        <v>2029</v>
      </c>
      <c r="CG17" s="22"/>
      <c r="CH17" s="22"/>
      <c r="CI17" s="22"/>
      <c r="CJ17" s="22"/>
      <c r="CK17" s="22"/>
      <c r="CL17" s="22"/>
      <c r="CM17" s="22"/>
      <c r="CN17" s="22"/>
    </row>
    <row r="18" spans="1:92" ht="17.100000000000001" customHeight="1" x14ac:dyDescent="0.2">
      <c r="A18" s="41" t="e">
        <f t="shared" si="4"/>
        <v>#VALUE!</v>
      </c>
      <c r="B18" s="46" t="e">
        <f t="shared" si="11"/>
        <v>#VALUE!</v>
      </c>
      <c r="C18" s="21" t="str">
        <f t="shared" si="5"/>
        <v>N</v>
      </c>
      <c r="D18" s="160"/>
      <c r="E18" s="160" t="s">
        <v>108</v>
      </c>
      <c r="F18" s="164"/>
      <c r="G18" s="163"/>
      <c r="H18" s="162">
        <v>0.83333333333333337</v>
      </c>
      <c r="I18" s="162">
        <v>0.1875</v>
      </c>
      <c r="J18" s="36">
        <f t="shared" si="6"/>
        <v>0.5</v>
      </c>
      <c r="K18" s="44">
        <f t="shared" si="0"/>
        <v>8</v>
      </c>
      <c r="L18" s="37"/>
      <c r="M18" s="152"/>
      <c r="N18" s="37"/>
      <c r="O18" s="38">
        <f t="shared" si="7"/>
        <v>7.9999999999999982</v>
      </c>
      <c r="P18" s="38" t="str">
        <f t="shared" si="8"/>
        <v/>
      </c>
      <c r="Q18" s="38" t="str">
        <f t="shared" si="9"/>
        <v/>
      </c>
      <c r="R18" s="38" t="str">
        <f t="shared" si="10"/>
        <v/>
      </c>
      <c r="S18" s="38"/>
      <c r="T18" s="37"/>
      <c r="U18" s="37"/>
      <c r="V18" s="37"/>
      <c r="W18" s="37"/>
      <c r="X18" s="44">
        <f t="shared" si="1"/>
        <v>8</v>
      </c>
      <c r="BV18" s="39" t="str">
        <f t="shared" si="2"/>
        <v/>
      </c>
      <c r="BW18" s="14">
        <f t="shared" si="3"/>
        <v>0.16666666666666666</v>
      </c>
      <c r="BX18" s="2" t="str">
        <f>IF(ISERROR(VLOOKUP(B18,CB9:CB177,1,FALSE)),"","x")</f>
        <v/>
      </c>
      <c r="BZ18" s="1" t="s">
        <v>24</v>
      </c>
      <c r="CB18" s="22">
        <v>43741</v>
      </c>
      <c r="CC18" s="22"/>
      <c r="CD18" s="22"/>
      <c r="CE18" s="2" t="s">
        <v>125</v>
      </c>
      <c r="CF18" s="2">
        <v>2030</v>
      </c>
      <c r="CG18" s="22"/>
      <c r="CH18" s="22"/>
      <c r="CI18" s="22"/>
      <c r="CJ18" s="22"/>
      <c r="CK18" s="22"/>
      <c r="CL18" s="22"/>
      <c r="CM18" s="22"/>
      <c r="CN18" s="22"/>
    </row>
    <row r="19" spans="1:92" ht="17.100000000000001" customHeight="1" x14ac:dyDescent="0.2">
      <c r="A19" s="41" t="e">
        <f t="shared" si="4"/>
        <v>#VALUE!</v>
      </c>
      <c r="B19" s="45" t="e">
        <f t="shared" si="11"/>
        <v>#VALUE!</v>
      </c>
      <c r="C19" s="21" t="str">
        <f t="shared" si="5"/>
        <v>N</v>
      </c>
      <c r="D19" s="160"/>
      <c r="E19" s="160" t="s">
        <v>108</v>
      </c>
      <c r="F19" s="164" t="s">
        <v>115</v>
      </c>
      <c r="G19" s="163"/>
      <c r="H19" s="162">
        <v>0.83333333333333337</v>
      </c>
      <c r="I19" s="162">
        <v>0.1875</v>
      </c>
      <c r="J19" s="36">
        <f t="shared" si="6"/>
        <v>0.5</v>
      </c>
      <c r="K19" s="44">
        <f t="shared" si="0"/>
        <v>8</v>
      </c>
      <c r="L19" s="37">
        <v>510</v>
      </c>
      <c r="M19" s="152"/>
      <c r="N19" s="37"/>
      <c r="O19" s="38">
        <f t="shared" si="7"/>
        <v>7.9999999999999982</v>
      </c>
      <c r="P19" s="38" t="str">
        <f t="shared" si="8"/>
        <v/>
      </c>
      <c r="Q19" s="38" t="str">
        <f t="shared" si="9"/>
        <v/>
      </c>
      <c r="R19" s="38" t="str">
        <f t="shared" si="10"/>
        <v/>
      </c>
      <c r="S19" s="38"/>
      <c r="T19" s="37"/>
      <c r="U19" s="37"/>
      <c r="V19" s="37"/>
      <c r="W19" s="37"/>
      <c r="X19" s="44">
        <f t="shared" si="1"/>
        <v>8</v>
      </c>
      <c r="BV19" s="39">
        <f t="shared" si="2"/>
        <v>508</v>
      </c>
      <c r="BW19" s="14">
        <f t="shared" si="3"/>
        <v>0.16666666666666666</v>
      </c>
      <c r="BX19" s="2" t="str">
        <f>IF(ISERROR(VLOOKUP(B19,CB9:CB177,1,FALSE)),"","x")</f>
        <v/>
      </c>
      <c r="BZ19" s="1" t="s">
        <v>25</v>
      </c>
      <c r="CB19" s="22">
        <v>43770</v>
      </c>
      <c r="CC19" s="22"/>
      <c r="CD19" s="22"/>
      <c r="CE19" s="40" t="s">
        <v>126</v>
      </c>
      <c r="CF19" s="40">
        <v>2031</v>
      </c>
      <c r="CG19" s="22"/>
      <c r="CH19" s="22"/>
      <c r="CI19" s="22"/>
      <c r="CJ19" s="22"/>
      <c r="CK19" s="22"/>
      <c r="CL19" s="22"/>
      <c r="CM19" s="22"/>
      <c r="CN19" s="22"/>
    </row>
    <row r="20" spans="1:92" ht="17.100000000000001" customHeight="1" x14ac:dyDescent="0.2">
      <c r="A20" s="41" t="e">
        <f t="shared" si="4"/>
        <v>#VALUE!</v>
      </c>
      <c r="B20" s="46" t="e">
        <f t="shared" si="11"/>
        <v>#VALUE!</v>
      </c>
      <c r="C20" s="21" t="str">
        <f t="shared" si="5"/>
        <v/>
      </c>
      <c r="D20" s="160"/>
      <c r="E20" s="160"/>
      <c r="F20" s="164"/>
      <c r="G20" s="163"/>
      <c r="H20" s="162"/>
      <c r="I20" s="162"/>
      <c r="J20" s="36" t="str">
        <f t="shared" si="6"/>
        <v/>
      </c>
      <c r="K20" s="44" t="str">
        <f t="shared" si="0"/>
        <v/>
      </c>
      <c r="L20" s="37"/>
      <c r="M20" s="152"/>
      <c r="N20" s="37"/>
      <c r="O20" s="38" t="str">
        <f t="shared" si="7"/>
        <v/>
      </c>
      <c r="P20" s="38" t="str">
        <f t="shared" si="8"/>
        <v/>
      </c>
      <c r="Q20" s="38" t="str">
        <f t="shared" si="9"/>
        <v/>
      </c>
      <c r="R20" s="38" t="str">
        <f t="shared" si="10"/>
        <v/>
      </c>
      <c r="S20" s="38"/>
      <c r="T20" s="37"/>
      <c r="U20" s="37"/>
      <c r="V20" s="37"/>
      <c r="W20" s="37"/>
      <c r="X20" s="44" t="str">
        <f t="shared" si="1"/>
        <v/>
      </c>
      <c r="BV20" s="39" t="str">
        <f t="shared" si="2"/>
        <v/>
      </c>
      <c r="BW20" s="14" t="str">
        <f t="shared" si="3"/>
        <v/>
      </c>
      <c r="BX20" s="2" t="str">
        <f>IF(ISERROR(VLOOKUP(B20,CB9:CB177,1,FALSE)),"","x")</f>
        <v/>
      </c>
      <c r="BZ20" s="1" t="s">
        <v>26</v>
      </c>
      <c r="CB20" s="22">
        <v>43824</v>
      </c>
      <c r="CC20" s="2"/>
    </row>
    <row r="21" spans="1:92" ht="17.100000000000001" customHeight="1" x14ac:dyDescent="0.2">
      <c r="A21" s="41" t="e">
        <f t="shared" si="4"/>
        <v>#VALUE!</v>
      </c>
      <c r="B21" s="46" t="e">
        <f t="shared" si="11"/>
        <v>#VALUE!</v>
      </c>
      <c r="C21" s="21" t="str">
        <f t="shared" si="5"/>
        <v>N</v>
      </c>
      <c r="D21" s="160"/>
      <c r="E21" s="160" t="s">
        <v>109</v>
      </c>
      <c r="F21" s="164" t="s">
        <v>113</v>
      </c>
      <c r="G21" s="163" t="s">
        <v>102</v>
      </c>
      <c r="H21" s="162">
        <v>0.83333333333333337</v>
      </c>
      <c r="I21" s="162">
        <v>0.1875</v>
      </c>
      <c r="J21" s="36">
        <f t="shared" si="6"/>
        <v>0.5</v>
      </c>
      <c r="K21" s="44">
        <f t="shared" si="0"/>
        <v>8</v>
      </c>
      <c r="L21" s="37">
        <v>280</v>
      </c>
      <c r="M21" s="152"/>
      <c r="N21" s="37"/>
      <c r="O21" s="38">
        <f t="shared" si="7"/>
        <v>7.9999999999999982</v>
      </c>
      <c r="P21" s="38" t="str">
        <f t="shared" si="8"/>
        <v/>
      </c>
      <c r="Q21" s="38" t="str">
        <f t="shared" si="9"/>
        <v/>
      </c>
      <c r="R21" s="38" t="str">
        <f t="shared" si="10"/>
        <v/>
      </c>
      <c r="S21" s="38"/>
      <c r="T21" s="37"/>
      <c r="U21" s="37"/>
      <c r="V21" s="37"/>
      <c r="W21" s="37"/>
      <c r="X21" s="44">
        <f t="shared" si="1"/>
        <v>8</v>
      </c>
      <c r="BV21" s="39">
        <f t="shared" si="2"/>
        <v>278</v>
      </c>
      <c r="BW21" s="14">
        <f t="shared" si="3"/>
        <v>0.16666666666666666</v>
      </c>
      <c r="BX21" s="2" t="str">
        <f>IF(ISERROR(VLOOKUP(B21,CB9:CB177,1,FALSE)),"","x")</f>
        <v/>
      </c>
      <c r="BZ21" s="1" t="s">
        <v>27</v>
      </c>
      <c r="CB21" s="22">
        <v>43825</v>
      </c>
      <c r="CC21" s="22"/>
    </row>
    <row r="22" spans="1:92" ht="17.100000000000001" customHeight="1" x14ac:dyDescent="0.2">
      <c r="A22" s="41" t="e">
        <f t="shared" si="4"/>
        <v>#VALUE!</v>
      </c>
      <c r="B22" s="46" t="e">
        <f t="shared" si="11"/>
        <v>#VALUE!</v>
      </c>
      <c r="C22" s="21" t="str">
        <f t="shared" si="5"/>
        <v>N</v>
      </c>
      <c r="D22" s="160"/>
      <c r="E22" s="160" t="s">
        <v>109</v>
      </c>
      <c r="F22" s="164" t="s">
        <v>114</v>
      </c>
      <c r="G22" s="163"/>
      <c r="H22" s="162">
        <v>0.91666666666666663</v>
      </c>
      <c r="I22" s="162">
        <v>0.1875</v>
      </c>
      <c r="J22" s="36">
        <f t="shared" si="6"/>
        <v>0.5</v>
      </c>
      <c r="K22" s="44">
        <f t="shared" si="0"/>
        <v>6.0000000000000009</v>
      </c>
      <c r="L22" s="37">
        <v>140</v>
      </c>
      <c r="M22" s="152"/>
      <c r="N22" s="37"/>
      <c r="O22" s="38">
        <f t="shared" si="7"/>
        <v>6</v>
      </c>
      <c r="P22" s="38" t="str">
        <f t="shared" si="8"/>
        <v/>
      </c>
      <c r="Q22" s="38" t="str">
        <f t="shared" si="9"/>
        <v/>
      </c>
      <c r="R22" s="38" t="str">
        <f t="shared" si="10"/>
        <v/>
      </c>
      <c r="S22" s="38"/>
      <c r="T22" s="37"/>
      <c r="U22" s="37"/>
      <c r="V22" s="37"/>
      <c r="W22" s="37"/>
      <c r="X22" s="44">
        <f t="shared" si="1"/>
        <v>6.0000000000000009</v>
      </c>
      <c r="BV22" s="39">
        <f t="shared" si="2"/>
        <v>138</v>
      </c>
      <c r="BW22" s="14">
        <f t="shared" si="3"/>
        <v>0.16666666666666666</v>
      </c>
      <c r="BX22" s="2" t="str">
        <f>IF(ISERROR(VLOOKUP(B22,CB9:CB177,1,FALSE)),"","x")</f>
        <v/>
      </c>
      <c r="CB22" s="2"/>
      <c r="CC22" s="22"/>
    </row>
    <row r="23" spans="1:92" ht="17.100000000000001" customHeight="1" x14ac:dyDescent="0.2">
      <c r="A23" s="41" t="e">
        <f t="shared" si="4"/>
        <v>#VALUE!</v>
      </c>
      <c r="B23" s="46" t="e">
        <f t="shared" si="11"/>
        <v>#VALUE!</v>
      </c>
      <c r="C23" s="21" t="str">
        <f t="shared" si="5"/>
        <v>N</v>
      </c>
      <c r="D23" s="160"/>
      <c r="E23" s="160" t="s">
        <v>109</v>
      </c>
      <c r="F23" s="164"/>
      <c r="G23" s="163"/>
      <c r="H23" s="162">
        <v>0.875</v>
      </c>
      <c r="I23" s="162">
        <v>0.32291666666666669</v>
      </c>
      <c r="J23" s="36">
        <f t="shared" si="6"/>
        <v>0.75</v>
      </c>
      <c r="K23" s="44">
        <f t="shared" si="0"/>
        <v>10.000000000000002</v>
      </c>
      <c r="L23" s="37"/>
      <c r="M23" s="152"/>
      <c r="N23" s="37"/>
      <c r="O23" s="38">
        <f t="shared" si="7"/>
        <v>8</v>
      </c>
      <c r="P23" s="38" t="str">
        <f t="shared" si="8"/>
        <v/>
      </c>
      <c r="Q23" s="38" t="str">
        <f t="shared" si="9"/>
        <v/>
      </c>
      <c r="R23" s="38" t="str">
        <f t="shared" si="10"/>
        <v/>
      </c>
      <c r="S23" s="38"/>
      <c r="T23" s="37"/>
      <c r="U23" s="37"/>
      <c r="V23" s="37"/>
      <c r="W23" s="37"/>
      <c r="X23" s="44">
        <f t="shared" si="1"/>
        <v>10.000000000000002</v>
      </c>
      <c r="BV23" s="39" t="str">
        <f t="shared" si="2"/>
        <v/>
      </c>
      <c r="BW23" s="14">
        <f t="shared" si="3"/>
        <v>0.29166666666666669</v>
      </c>
      <c r="BX23" s="2" t="str">
        <f>IF(ISERROR(VLOOKUP(B23,CB9:CB177,1,FALSE)),"","x")</f>
        <v/>
      </c>
      <c r="BZ23" s="1" t="s">
        <v>15</v>
      </c>
      <c r="CB23" s="22">
        <v>43831</v>
      </c>
      <c r="CC23" s="22"/>
    </row>
    <row r="24" spans="1:92" ht="17.100000000000001" customHeight="1" x14ac:dyDescent="0.2">
      <c r="A24" s="41" t="e">
        <f t="shared" si="4"/>
        <v>#VALUE!</v>
      </c>
      <c r="B24" s="46" t="e">
        <f t="shared" si="11"/>
        <v>#VALUE!</v>
      </c>
      <c r="C24" s="21" t="str">
        <f t="shared" si="5"/>
        <v>N</v>
      </c>
      <c r="D24" s="160"/>
      <c r="E24" s="160" t="s">
        <v>109</v>
      </c>
      <c r="F24" s="164"/>
      <c r="G24" s="163"/>
      <c r="H24" s="162">
        <v>0.91666666666666663</v>
      </c>
      <c r="I24" s="162">
        <v>0.27083333333333331</v>
      </c>
      <c r="J24" s="36">
        <f t="shared" si="6"/>
        <v>0.5</v>
      </c>
      <c r="K24" s="44">
        <f t="shared" si="0"/>
        <v>8.0000000000000018</v>
      </c>
      <c r="L24" s="37"/>
      <c r="M24" s="152"/>
      <c r="N24" s="37"/>
      <c r="O24" s="38">
        <f t="shared" si="7"/>
        <v>8</v>
      </c>
      <c r="P24" s="38" t="str">
        <f t="shared" si="8"/>
        <v/>
      </c>
      <c r="Q24" s="38" t="str">
        <f t="shared" si="9"/>
        <v/>
      </c>
      <c r="R24" s="38" t="str">
        <f t="shared" si="10"/>
        <v/>
      </c>
      <c r="S24" s="38"/>
      <c r="T24" s="37"/>
      <c r="U24" s="37"/>
      <c r="V24" s="37"/>
      <c r="W24" s="37"/>
      <c r="X24" s="44">
        <f t="shared" si="1"/>
        <v>8.0000000000000018</v>
      </c>
      <c r="BV24" s="39" t="str">
        <f t="shared" si="2"/>
        <v/>
      </c>
      <c r="BW24" s="14">
        <f t="shared" si="3"/>
        <v>0.24999999999999997</v>
      </c>
      <c r="BX24" s="2" t="str">
        <f>IF(ISERROR(VLOOKUP(B24,CB9:CB177,1,FALSE)),"","x")</f>
        <v/>
      </c>
      <c r="BZ24" s="1" t="s">
        <v>16</v>
      </c>
      <c r="CB24" s="22">
        <v>43931</v>
      </c>
      <c r="CC24" s="22"/>
    </row>
    <row r="25" spans="1:92" ht="17.100000000000001" customHeight="1" x14ac:dyDescent="0.2">
      <c r="A25" s="41" t="e">
        <f t="shared" si="4"/>
        <v>#VALUE!</v>
      </c>
      <c r="B25" s="46" t="e">
        <f t="shared" si="11"/>
        <v>#VALUE!</v>
      </c>
      <c r="C25" s="21" t="str">
        <f t="shared" si="5"/>
        <v/>
      </c>
      <c r="D25" s="160"/>
      <c r="E25" s="160" t="s">
        <v>109</v>
      </c>
      <c r="F25" s="164" t="s">
        <v>115</v>
      </c>
      <c r="G25" s="163"/>
      <c r="H25" s="162"/>
      <c r="I25" s="162"/>
      <c r="J25" s="36" t="str">
        <f t="shared" si="6"/>
        <v/>
      </c>
      <c r="K25" s="44" t="str">
        <f t="shared" si="0"/>
        <v/>
      </c>
      <c r="L25" s="37">
        <v>140</v>
      </c>
      <c r="M25" s="152"/>
      <c r="N25" s="37"/>
      <c r="O25" s="38" t="str">
        <f t="shared" si="7"/>
        <v/>
      </c>
      <c r="P25" s="38" t="str">
        <f t="shared" si="8"/>
        <v/>
      </c>
      <c r="Q25" s="38" t="str">
        <f t="shared" si="9"/>
        <v/>
      </c>
      <c r="R25" s="38" t="str">
        <f t="shared" si="10"/>
        <v/>
      </c>
      <c r="S25" s="38"/>
      <c r="T25" s="37"/>
      <c r="U25" s="37"/>
      <c r="V25" s="37"/>
      <c r="W25" s="37"/>
      <c r="X25" s="44" t="str">
        <f t="shared" si="1"/>
        <v/>
      </c>
      <c r="BV25" s="39">
        <f t="shared" si="2"/>
        <v>138</v>
      </c>
      <c r="BW25" s="14" t="str">
        <f t="shared" si="3"/>
        <v/>
      </c>
      <c r="BX25" s="2" t="str">
        <f>IF(ISERROR(VLOOKUP(B25,CB9:CB177,1,FALSE)),"","x")</f>
        <v/>
      </c>
      <c r="BZ25" s="1" t="s">
        <v>17</v>
      </c>
      <c r="CB25" s="22">
        <v>43933</v>
      </c>
      <c r="CC25" s="22"/>
    </row>
    <row r="26" spans="1:92" ht="17.100000000000001" customHeight="1" x14ac:dyDescent="0.2">
      <c r="A26" s="41" t="e">
        <f t="shared" si="4"/>
        <v>#VALUE!</v>
      </c>
      <c r="B26" s="46" t="e">
        <f t="shared" si="11"/>
        <v>#VALUE!</v>
      </c>
      <c r="C26" s="21" t="str">
        <f t="shared" si="5"/>
        <v>N</v>
      </c>
      <c r="D26" s="160"/>
      <c r="E26" s="160" t="s">
        <v>110</v>
      </c>
      <c r="F26" s="164" t="s">
        <v>113</v>
      </c>
      <c r="G26" s="163"/>
      <c r="H26" s="162">
        <v>0.83333333333333337</v>
      </c>
      <c r="I26" s="162">
        <v>0.28125</v>
      </c>
      <c r="J26" s="36">
        <f t="shared" si="6"/>
        <v>0.75</v>
      </c>
      <c r="K26" s="44">
        <f t="shared" si="0"/>
        <v>10</v>
      </c>
      <c r="L26" s="37">
        <v>420</v>
      </c>
      <c r="M26" s="152"/>
      <c r="N26" s="37"/>
      <c r="O26" s="38">
        <f t="shared" si="7"/>
        <v>8</v>
      </c>
      <c r="P26" s="38" t="str">
        <f t="shared" si="8"/>
        <v/>
      </c>
      <c r="Q26" s="38" t="str">
        <f t="shared" si="9"/>
        <v/>
      </c>
      <c r="R26" s="38" t="str">
        <f t="shared" si="10"/>
        <v/>
      </c>
      <c r="S26" s="38"/>
      <c r="T26" s="37"/>
      <c r="U26" s="37"/>
      <c r="V26" s="37"/>
      <c r="W26" s="37"/>
      <c r="X26" s="44">
        <f t="shared" si="1"/>
        <v>10</v>
      </c>
      <c r="BV26" s="39">
        <f t="shared" si="2"/>
        <v>418</v>
      </c>
      <c r="BW26" s="14">
        <f t="shared" si="3"/>
        <v>0.25</v>
      </c>
      <c r="BX26" s="2" t="str">
        <f>IF(ISERROR(VLOOKUP(B26,CB9:CB177,1,FALSE)),"","x")</f>
        <v/>
      </c>
      <c r="BZ26" s="1" t="s">
        <v>18</v>
      </c>
      <c r="CB26" s="22">
        <v>43934</v>
      </c>
      <c r="CC26" s="22"/>
    </row>
    <row r="27" spans="1:92" ht="17.100000000000001" customHeight="1" x14ac:dyDescent="0.2">
      <c r="A27" s="41" t="e">
        <f t="shared" si="4"/>
        <v>#VALUE!</v>
      </c>
      <c r="B27" s="46" t="e">
        <f t="shared" si="11"/>
        <v>#VALUE!</v>
      </c>
      <c r="C27" s="21" t="str">
        <f t="shared" si="5"/>
        <v/>
      </c>
      <c r="D27" s="160"/>
      <c r="E27" s="160"/>
      <c r="F27" s="164"/>
      <c r="G27" s="163"/>
      <c r="H27" s="162"/>
      <c r="I27" s="162"/>
      <c r="J27" s="36" t="str">
        <f t="shared" si="6"/>
        <v/>
      </c>
      <c r="K27" s="44" t="str">
        <f t="shared" si="0"/>
        <v/>
      </c>
      <c r="L27" s="37"/>
      <c r="M27" s="152"/>
      <c r="N27" s="37"/>
      <c r="O27" s="38" t="str">
        <f t="shared" si="7"/>
        <v/>
      </c>
      <c r="P27" s="38" t="str">
        <f t="shared" si="8"/>
        <v/>
      </c>
      <c r="Q27" s="38" t="str">
        <f t="shared" si="9"/>
        <v/>
      </c>
      <c r="R27" s="38" t="str">
        <f t="shared" si="10"/>
        <v/>
      </c>
      <c r="S27" s="38"/>
      <c r="T27" s="37"/>
      <c r="U27" s="37"/>
      <c r="V27" s="37"/>
      <c r="W27" s="37"/>
      <c r="X27" s="44" t="str">
        <f t="shared" si="1"/>
        <v/>
      </c>
      <c r="BV27" s="39" t="str">
        <f t="shared" si="2"/>
        <v/>
      </c>
      <c r="BW27" s="14" t="str">
        <f t="shared" si="3"/>
        <v/>
      </c>
      <c r="BX27" s="2" t="str">
        <f>IF(ISERROR(VLOOKUP(B27,CB9:CB177,1,FALSE)),"","x")</f>
        <v/>
      </c>
      <c r="BZ27" s="1" t="s">
        <v>19</v>
      </c>
      <c r="CB27" s="22">
        <v>43952</v>
      </c>
      <c r="CC27" s="22"/>
    </row>
    <row r="28" spans="1:92" ht="17.100000000000001" customHeight="1" x14ac:dyDescent="0.2">
      <c r="A28" s="41" t="e">
        <f t="shared" si="4"/>
        <v>#VALUE!</v>
      </c>
      <c r="B28" s="46" t="e">
        <f t="shared" si="11"/>
        <v>#VALUE!</v>
      </c>
      <c r="C28" s="21" t="str">
        <f t="shared" si="5"/>
        <v/>
      </c>
      <c r="D28" s="160"/>
      <c r="E28" s="160"/>
      <c r="F28" s="164"/>
      <c r="G28" s="163"/>
      <c r="H28" s="162"/>
      <c r="I28" s="162"/>
      <c r="J28" s="36" t="str">
        <f t="shared" si="6"/>
        <v/>
      </c>
      <c r="K28" s="44" t="str">
        <f t="shared" si="0"/>
        <v/>
      </c>
      <c r="L28" s="37"/>
      <c r="M28" s="152"/>
      <c r="N28" s="37"/>
      <c r="O28" s="38" t="str">
        <f t="shared" si="7"/>
        <v/>
      </c>
      <c r="P28" s="38" t="str">
        <f t="shared" si="8"/>
        <v/>
      </c>
      <c r="Q28" s="38" t="str">
        <f t="shared" si="9"/>
        <v/>
      </c>
      <c r="R28" s="38" t="str">
        <f t="shared" si="10"/>
        <v/>
      </c>
      <c r="S28" s="38"/>
      <c r="T28" s="37"/>
      <c r="U28" s="37"/>
      <c r="V28" s="37"/>
      <c r="W28" s="37"/>
      <c r="X28" s="44" t="str">
        <f t="shared" si="1"/>
        <v/>
      </c>
      <c r="BV28" s="39" t="str">
        <f t="shared" si="2"/>
        <v/>
      </c>
      <c r="BW28" s="14" t="str">
        <f t="shared" si="3"/>
        <v/>
      </c>
      <c r="BX28" s="2" t="str">
        <f>IF(ISERROR(VLOOKUP(B28,CB9:CB177,1,FALSE)),"","x")</f>
        <v/>
      </c>
      <c r="BZ28" s="1" t="s">
        <v>20</v>
      </c>
      <c r="CB28" s="22">
        <v>43972</v>
      </c>
      <c r="CC28" s="22"/>
    </row>
    <row r="29" spans="1:92" ht="17.100000000000001" customHeight="1" x14ac:dyDescent="0.2">
      <c r="A29" s="41" t="e">
        <f t="shared" si="4"/>
        <v>#VALUE!</v>
      </c>
      <c r="B29" s="46" t="e">
        <f t="shared" si="11"/>
        <v>#VALUE!</v>
      </c>
      <c r="C29" s="21" t="str">
        <f t="shared" si="5"/>
        <v/>
      </c>
      <c r="D29" s="160"/>
      <c r="E29" s="160"/>
      <c r="F29" s="164"/>
      <c r="G29" s="163"/>
      <c r="H29" s="162"/>
      <c r="I29" s="162"/>
      <c r="J29" s="36" t="str">
        <f t="shared" si="6"/>
        <v/>
      </c>
      <c r="K29" s="44" t="str">
        <f t="shared" si="0"/>
        <v/>
      </c>
      <c r="L29" s="37"/>
      <c r="M29" s="152"/>
      <c r="N29" s="37"/>
      <c r="O29" s="38" t="str">
        <f t="shared" si="7"/>
        <v/>
      </c>
      <c r="P29" s="38" t="str">
        <f t="shared" si="8"/>
        <v/>
      </c>
      <c r="Q29" s="38" t="str">
        <f t="shared" si="9"/>
        <v/>
      </c>
      <c r="R29" s="38" t="str">
        <f t="shared" si="10"/>
        <v/>
      </c>
      <c r="S29" s="38"/>
      <c r="T29" s="37"/>
      <c r="U29" s="37"/>
      <c r="V29" s="37"/>
      <c r="W29" s="37"/>
      <c r="X29" s="44" t="str">
        <f t="shared" si="1"/>
        <v/>
      </c>
      <c r="BV29" s="39" t="str">
        <f t="shared" si="2"/>
        <v/>
      </c>
      <c r="BW29" s="14" t="str">
        <f t="shared" si="3"/>
        <v/>
      </c>
      <c r="BX29" s="2" t="str">
        <f>IF(ISERROR(VLOOKUP(B29,CB9:CB177,1,FALSE)),"","x")</f>
        <v/>
      </c>
      <c r="BZ29" s="1" t="s">
        <v>21</v>
      </c>
      <c r="CB29" s="22">
        <v>43981</v>
      </c>
      <c r="CC29" s="22"/>
    </row>
    <row r="30" spans="1:92" ht="17.100000000000001" customHeight="1" x14ac:dyDescent="0.2">
      <c r="A30" s="41" t="e">
        <f t="shared" si="4"/>
        <v>#VALUE!</v>
      </c>
      <c r="B30" s="46" t="e">
        <f t="shared" si="11"/>
        <v>#VALUE!</v>
      </c>
      <c r="C30" s="21" t="str">
        <f t="shared" si="5"/>
        <v/>
      </c>
      <c r="D30" s="160"/>
      <c r="E30" s="160"/>
      <c r="F30" s="164"/>
      <c r="G30" s="163"/>
      <c r="H30" s="162"/>
      <c r="I30" s="162"/>
      <c r="J30" s="36" t="str">
        <f t="shared" si="6"/>
        <v/>
      </c>
      <c r="K30" s="44" t="str">
        <f t="shared" si="0"/>
        <v/>
      </c>
      <c r="L30" s="37"/>
      <c r="M30" s="152"/>
      <c r="N30" s="37"/>
      <c r="O30" s="38" t="str">
        <f t="shared" si="7"/>
        <v/>
      </c>
      <c r="P30" s="38" t="str">
        <f t="shared" si="8"/>
        <v/>
      </c>
      <c r="Q30" s="38" t="str">
        <f t="shared" si="9"/>
        <v/>
      </c>
      <c r="R30" s="38" t="str">
        <f t="shared" si="10"/>
        <v/>
      </c>
      <c r="S30" s="38"/>
      <c r="T30" s="37"/>
      <c r="U30" s="37"/>
      <c r="V30" s="37"/>
      <c r="W30" s="37"/>
      <c r="X30" s="44" t="str">
        <f t="shared" si="1"/>
        <v/>
      </c>
      <c r="BV30" s="39" t="str">
        <f t="shared" si="2"/>
        <v/>
      </c>
      <c r="BW30" s="14" t="str">
        <f t="shared" si="3"/>
        <v/>
      </c>
      <c r="BX30" s="2" t="str">
        <f>IF(ISERROR(VLOOKUP(B30,CB9:CB177,1,FALSE)),"","x")</f>
        <v/>
      </c>
      <c r="BZ30" s="1" t="s">
        <v>22</v>
      </c>
      <c r="CB30" s="22">
        <v>43983</v>
      </c>
      <c r="CC30" s="22"/>
    </row>
    <row r="31" spans="1:92" ht="17.100000000000001" customHeight="1" x14ac:dyDescent="0.2">
      <c r="A31" s="41" t="e">
        <f t="shared" si="4"/>
        <v>#VALUE!</v>
      </c>
      <c r="B31" s="46" t="e">
        <f t="shared" si="11"/>
        <v>#VALUE!</v>
      </c>
      <c r="C31" s="21" t="str">
        <f t="shared" si="5"/>
        <v>N</v>
      </c>
      <c r="D31" s="160"/>
      <c r="E31" s="160" t="s">
        <v>111</v>
      </c>
      <c r="F31" s="164" t="s">
        <v>113</v>
      </c>
      <c r="G31" s="163" t="s">
        <v>112</v>
      </c>
      <c r="H31" s="162">
        <v>0.83333333333333337</v>
      </c>
      <c r="I31" s="162">
        <v>0.1875</v>
      </c>
      <c r="J31" s="36">
        <f t="shared" si="6"/>
        <v>0.5</v>
      </c>
      <c r="K31" s="44">
        <f t="shared" si="0"/>
        <v>8</v>
      </c>
      <c r="L31" s="37">
        <v>720</v>
      </c>
      <c r="M31" s="152"/>
      <c r="N31" s="37"/>
      <c r="O31" s="38">
        <f t="shared" si="7"/>
        <v>7.9999999999999982</v>
      </c>
      <c r="P31" s="38" t="str">
        <f t="shared" si="8"/>
        <v/>
      </c>
      <c r="Q31" s="38" t="str">
        <f t="shared" si="9"/>
        <v/>
      </c>
      <c r="R31" s="38" t="str">
        <f t="shared" si="10"/>
        <v/>
      </c>
      <c r="S31" s="38"/>
      <c r="T31" s="37"/>
      <c r="U31" s="37"/>
      <c r="V31" s="37"/>
      <c r="W31" s="37"/>
      <c r="X31" s="44">
        <f t="shared" si="1"/>
        <v>8</v>
      </c>
      <c r="BV31" s="39">
        <f t="shared" si="2"/>
        <v>718</v>
      </c>
      <c r="BW31" s="14">
        <f t="shared" si="3"/>
        <v>0.16666666666666666</v>
      </c>
      <c r="BX31" s="2" t="str">
        <f>IF(ISERROR(VLOOKUP(B31,CB9:CB177,1,FALSE)),"","x")</f>
        <v/>
      </c>
      <c r="BZ31" s="1" t="s">
        <v>23</v>
      </c>
      <c r="CB31" s="22">
        <v>43993</v>
      </c>
      <c r="CC31" s="22"/>
    </row>
    <row r="32" spans="1:92" ht="17.100000000000001" customHeight="1" x14ac:dyDescent="0.2">
      <c r="A32" s="41" t="e">
        <f t="shared" si="4"/>
        <v>#VALUE!</v>
      </c>
      <c r="B32" s="47" t="e">
        <f t="shared" si="11"/>
        <v>#VALUE!</v>
      </c>
      <c r="C32" s="21" t="str">
        <f t="shared" si="5"/>
        <v/>
      </c>
      <c r="D32" s="160"/>
      <c r="E32" s="160"/>
      <c r="F32" s="164"/>
      <c r="G32" s="163"/>
      <c r="H32" s="162"/>
      <c r="I32" s="162"/>
      <c r="J32" s="36" t="str">
        <f t="shared" si="6"/>
        <v/>
      </c>
      <c r="K32" s="44" t="str">
        <f t="shared" si="0"/>
        <v/>
      </c>
      <c r="L32" s="37"/>
      <c r="M32" s="152"/>
      <c r="N32" s="37"/>
      <c r="O32" s="38" t="str">
        <f t="shared" ref="O32:O38" si="12">IFERROR(+MIN(IF(OR(H32="",I32=""),"",(MAX(,MIN(I32-(J32/24)+(H32&gt;I32-(J32/24)),MAX(($CA$4&gt;$CC$4),$CC$4))-MAX(H32,$CA$4))+MAX(,MIN(I32-(J32/24),MAX(($CA$4&gt;$CC$4),$CC$4))-MAX(,$CA$4))*(H32&gt;I32-(J32/24))+MAX(,MIN(I32-(J32/24)+(H32&gt;I32-(J32/24)),MIN(($CA$4&gt;$CC$4),$CC$4))-MAX(H32,))+MIN(I32-(J32/24),MIN(($CA$4&gt;$CC$4),$CC$4))*(H32&gt;I32-(J32/24)))*24),8),"")</f>
        <v/>
      </c>
      <c r="P32" s="38" t="str">
        <f t="shared" si="8"/>
        <v/>
      </c>
      <c r="Q32" s="38" t="str">
        <f t="shared" si="9"/>
        <v/>
      </c>
      <c r="R32" s="38" t="str">
        <f t="shared" si="10"/>
        <v/>
      </c>
      <c r="S32" s="38"/>
      <c r="T32" s="37"/>
      <c r="U32" s="37"/>
      <c r="V32" s="37"/>
      <c r="W32" s="37"/>
      <c r="X32" s="44" t="str">
        <f t="shared" si="1"/>
        <v/>
      </c>
      <c r="BV32" s="39" t="str">
        <f t="shared" si="2"/>
        <v/>
      </c>
      <c r="BW32" s="14" t="str">
        <f t="shared" si="3"/>
        <v/>
      </c>
      <c r="BX32" s="2" t="str">
        <f>IF(ISERROR(VLOOKUP(B32,CB9:CB177,1,FALSE)),"","x")</f>
        <v/>
      </c>
      <c r="BZ32" s="1" t="s">
        <v>24</v>
      </c>
      <c r="CB32" s="22">
        <v>44107</v>
      </c>
      <c r="CC32" s="2"/>
    </row>
    <row r="33" spans="1:90" ht="17.100000000000001" customHeight="1" x14ac:dyDescent="0.2">
      <c r="A33" s="41" t="e">
        <f t="shared" si="4"/>
        <v>#VALUE!</v>
      </c>
      <c r="B33" s="47" t="e">
        <f t="shared" si="11"/>
        <v>#VALUE!</v>
      </c>
      <c r="C33" s="21" t="str">
        <f t="shared" si="5"/>
        <v/>
      </c>
      <c r="D33" s="160"/>
      <c r="E33" s="160"/>
      <c r="F33" s="164"/>
      <c r="G33" s="163"/>
      <c r="H33" s="162"/>
      <c r="I33" s="162"/>
      <c r="J33" s="36" t="str">
        <f t="shared" si="6"/>
        <v/>
      </c>
      <c r="K33" s="44" t="str">
        <f t="shared" si="0"/>
        <v/>
      </c>
      <c r="L33" s="37"/>
      <c r="M33" s="152"/>
      <c r="N33" s="37"/>
      <c r="O33" s="38" t="str">
        <f t="shared" si="12"/>
        <v/>
      </c>
      <c r="P33" s="38" t="str">
        <f t="shared" si="8"/>
        <v/>
      </c>
      <c r="Q33" s="38" t="str">
        <f t="shared" si="9"/>
        <v/>
      </c>
      <c r="R33" s="38" t="str">
        <f t="shared" si="10"/>
        <v/>
      </c>
      <c r="S33" s="38"/>
      <c r="T33" s="37"/>
      <c r="U33" s="37"/>
      <c r="V33" s="37"/>
      <c r="W33" s="37"/>
      <c r="X33" s="44" t="str">
        <f t="shared" si="1"/>
        <v/>
      </c>
      <c r="BV33" s="39" t="str">
        <f t="shared" si="2"/>
        <v/>
      </c>
      <c r="BW33" s="14" t="str">
        <f t="shared" si="3"/>
        <v/>
      </c>
      <c r="BX33" s="2" t="str">
        <f>IF(ISERROR(VLOOKUP(B33,CB9:CB177,1,FALSE)),"","x")</f>
        <v/>
      </c>
      <c r="BZ33" s="1" t="s">
        <v>25</v>
      </c>
      <c r="CB33" s="22">
        <v>44136</v>
      </c>
      <c r="CC33" s="22"/>
    </row>
    <row r="34" spans="1:90" ht="17.100000000000001" customHeight="1" x14ac:dyDescent="0.2">
      <c r="A34" s="41" t="e">
        <f t="shared" si="4"/>
        <v>#VALUE!</v>
      </c>
      <c r="B34" s="46" t="e">
        <f t="shared" si="11"/>
        <v>#VALUE!</v>
      </c>
      <c r="C34" s="21" t="str">
        <f t="shared" si="5"/>
        <v/>
      </c>
      <c r="D34" s="160"/>
      <c r="E34" s="160"/>
      <c r="F34" s="164"/>
      <c r="G34" s="163"/>
      <c r="H34" s="162"/>
      <c r="I34" s="162"/>
      <c r="J34" s="36" t="str">
        <f t="shared" si="6"/>
        <v/>
      </c>
      <c r="K34" s="44" t="str">
        <f t="shared" si="0"/>
        <v/>
      </c>
      <c r="L34" s="37"/>
      <c r="M34" s="152"/>
      <c r="N34" s="37"/>
      <c r="O34" s="38" t="str">
        <f t="shared" si="12"/>
        <v/>
      </c>
      <c r="P34" s="38" t="str">
        <f t="shared" si="8"/>
        <v/>
      </c>
      <c r="Q34" s="38" t="str">
        <f t="shared" si="9"/>
        <v/>
      </c>
      <c r="R34" s="38" t="str">
        <f t="shared" si="10"/>
        <v/>
      </c>
      <c r="S34" s="38"/>
      <c r="T34" s="37"/>
      <c r="U34" s="37"/>
      <c r="V34" s="37"/>
      <c r="W34" s="37"/>
      <c r="X34" s="44"/>
      <c r="BV34" s="39" t="str">
        <f t="shared" si="2"/>
        <v/>
      </c>
      <c r="BW34" s="14" t="str">
        <f t="shared" si="3"/>
        <v/>
      </c>
      <c r="BX34" s="2" t="str">
        <f>IF(ISERROR(VLOOKUP(B34,CB9:CB177,1,FALSE)),"","x")</f>
        <v/>
      </c>
      <c r="BZ34" s="1" t="s">
        <v>26</v>
      </c>
      <c r="CB34" s="22">
        <v>44190</v>
      </c>
      <c r="CC34" s="22"/>
    </row>
    <row r="35" spans="1:90" ht="17.100000000000001" customHeight="1" x14ac:dyDescent="0.2">
      <c r="A35" s="41" t="e">
        <f t="shared" si="4"/>
        <v>#VALUE!</v>
      </c>
      <c r="B35" s="46" t="e">
        <f t="shared" si="11"/>
        <v>#VALUE!</v>
      </c>
      <c r="C35" s="21" t="str">
        <f t="shared" si="5"/>
        <v/>
      </c>
      <c r="D35" s="160"/>
      <c r="E35" s="160"/>
      <c r="F35" s="164"/>
      <c r="G35" s="163"/>
      <c r="H35" s="167"/>
      <c r="I35" s="162"/>
      <c r="J35" s="36" t="str">
        <f t="shared" si="6"/>
        <v/>
      </c>
      <c r="K35" s="44" t="str">
        <f t="shared" si="0"/>
        <v/>
      </c>
      <c r="L35" s="37"/>
      <c r="M35" s="152"/>
      <c r="N35" s="37"/>
      <c r="O35" s="38" t="str">
        <f t="shared" si="12"/>
        <v/>
      </c>
      <c r="P35" s="38" t="str">
        <f t="shared" si="8"/>
        <v/>
      </c>
      <c r="Q35" s="38" t="str">
        <f t="shared" si="9"/>
        <v/>
      </c>
      <c r="R35" s="38" t="str">
        <f t="shared" si="10"/>
        <v/>
      </c>
      <c r="S35" s="38"/>
      <c r="T35" s="37"/>
      <c r="U35" s="37"/>
      <c r="V35" s="37"/>
      <c r="W35" s="37"/>
      <c r="X35" s="44" t="str">
        <f t="shared" si="1"/>
        <v/>
      </c>
      <c r="BV35" s="39" t="str">
        <f t="shared" si="2"/>
        <v/>
      </c>
      <c r="BW35" s="14" t="str">
        <f t="shared" si="3"/>
        <v/>
      </c>
      <c r="BX35" s="2" t="str">
        <f>IF(ISERROR(VLOOKUP(B35,CB9:CB177,1,FALSE)),"","x")</f>
        <v/>
      </c>
      <c r="BZ35" s="1" t="s">
        <v>27</v>
      </c>
      <c r="CB35" s="22">
        <v>44191</v>
      </c>
      <c r="CC35" s="22"/>
    </row>
    <row r="36" spans="1:90" ht="17.100000000000001" customHeight="1" x14ac:dyDescent="0.2">
      <c r="A36" s="41" t="e">
        <f t="shared" si="4"/>
        <v>#VALUE!</v>
      </c>
      <c r="B36" s="46" t="e">
        <f>IF(AND(MOD(I5,4)=0,H5=2),B35+1,IF(H5&lt;&gt;2,B35+1,""))</f>
        <v>#VALUE!</v>
      </c>
      <c r="C36" s="21" t="str">
        <f t="shared" si="5"/>
        <v/>
      </c>
      <c r="D36" s="160"/>
      <c r="E36" s="160"/>
      <c r="F36" s="164"/>
      <c r="G36" s="163"/>
      <c r="H36" s="162"/>
      <c r="I36" s="162"/>
      <c r="J36" s="36" t="str">
        <f t="shared" si="6"/>
        <v/>
      </c>
      <c r="K36" s="44" t="str">
        <f t="shared" si="0"/>
        <v/>
      </c>
      <c r="L36" s="37"/>
      <c r="M36" s="152"/>
      <c r="N36" s="37"/>
      <c r="O36" s="38" t="str">
        <f t="shared" si="12"/>
        <v/>
      </c>
      <c r="P36" s="38" t="str">
        <f t="shared" si="8"/>
        <v/>
      </c>
      <c r="Q36" s="38" t="str">
        <f t="shared" si="9"/>
        <v/>
      </c>
      <c r="R36" s="38" t="str">
        <f t="shared" si="10"/>
        <v/>
      </c>
      <c r="S36" s="38"/>
      <c r="T36" s="37"/>
      <c r="U36" s="37"/>
      <c r="V36" s="37"/>
      <c r="W36" s="37"/>
      <c r="X36" s="44" t="str">
        <f t="shared" si="1"/>
        <v/>
      </c>
      <c r="BV36" s="39" t="str">
        <f t="shared" si="2"/>
        <v/>
      </c>
      <c r="BW36" s="14" t="str">
        <f t="shared" si="3"/>
        <v/>
      </c>
      <c r="BX36" s="2" t="str">
        <f>IF(ISERROR(VLOOKUP(B36,CB9:CB177,1,FALSE)),"","x")</f>
        <v/>
      </c>
      <c r="BY36" s="23" t="e">
        <f>B35+1</f>
        <v>#VALUE!</v>
      </c>
      <c r="CB36" s="2"/>
      <c r="CC36" s="22"/>
    </row>
    <row r="37" spans="1:90" ht="17.100000000000001" customHeight="1" x14ac:dyDescent="0.2">
      <c r="A37" s="41" t="e">
        <f t="shared" si="4"/>
        <v>#VALUE!</v>
      </c>
      <c r="B37" s="46" t="e">
        <f>IF(B36&lt;&gt;"",IF(MONTH(B36+1)&lt;&gt;MONTH(B36),"",B36+1),"")</f>
        <v>#VALUE!</v>
      </c>
      <c r="C37" s="21" t="str">
        <f t="shared" si="5"/>
        <v/>
      </c>
      <c r="D37" s="160"/>
      <c r="E37" s="160"/>
      <c r="F37" s="164"/>
      <c r="G37" s="163"/>
      <c r="H37" s="162"/>
      <c r="I37" s="162"/>
      <c r="J37" s="36" t="str">
        <f t="shared" si="6"/>
        <v/>
      </c>
      <c r="K37" s="44" t="str">
        <f t="shared" si="0"/>
        <v/>
      </c>
      <c r="L37" s="37"/>
      <c r="M37" s="152"/>
      <c r="N37" s="37"/>
      <c r="O37" s="38" t="str">
        <f t="shared" si="12"/>
        <v/>
      </c>
      <c r="P37" s="38">
        <f t="shared" si="8"/>
        <v>0</v>
      </c>
      <c r="Q37" s="38">
        <f t="shared" si="9"/>
        <v>0</v>
      </c>
      <c r="R37" s="38" t="str">
        <f t="shared" si="10"/>
        <v/>
      </c>
      <c r="S37" s="38"/>
      <c r="T37" s="37"/>
      <c r="U37" s="37"/>
      <c r="V37" s="37"/>
      <c r="W37" s="37"/>
      <c r="X37" s="44" t="str">
        <f t="shared" si="1"/>
        <v/>
      </c>
      <c r="BV37" s="39" t="str">
        <f t="shared" si="2"/>
        <v/>
      </c>
      <c r="BW37" s="14" t="str">
        <f t="shared" si="3"/>
        <v/>
      </c>
      <c r="BX37" s="2" t="str">
        <f>IF(ISERROR(VLOOKUP(B37,CB9:CB177,1,FALSE)),"","x")</f>
        <v/>
      </c>
      <c r="BY37" s="23" t="str">
        <f>IFERROR(B36+1,"")</f>
        <v/>
      </c>
      <c r="BZ37" s="1" t="s">
        <v>15</v>
      </c>
      <c r="CB37" s="22">
        <v>44197</v>
      </c>
      <c r="CC37" s="22"/>
    </row>
    <row r="38" spans="1:90" ht="17.100000000000001" customHeight="1" thickBot="1" x14ac:dyDescent="0.25">
      <c r="A38" s="41" t="str">
        <f t="shared" si="4"/>
        <v>TTT</v>
      </c>
      <c r="B38" s="46">
        <v>31</v>
      </c>
      <c r="C38" s="21" t="str">
        <f t="shared" si="5"/>
        <v/>
      </c>
      <c r="D38" s="160"/>
      <c r="E38" s="160"/>
      <c r="F38" s="164"/>
      <c r="G38" s="163"/>
      <c r="H38" s="162"/>
      <c r="I38" s="162"/>
      <c r="J38" s="36" t="str">
        <f t="shared" si="6"/>
        <v/>
      </c>
      <c r="K38" s="44" t="str">
        <f t="shared" si="0"/>
        <v/>
      </c>
      <c r="L38" s="37"/>
      <c r="M38" s="152"/>
      <c r="N38" s="37"/>
      <c r="O38" s="38" t="str">
        <f t="shared" si="12"/>
        <v/>
      </c>
      <c r="P38" s="38" t="str">
        <f t="shared" si="8"/>
        <v/>
      </c>
      <c r="Q38" s="38" t="str">
        <f t="shared" si="9"/>
        <v/>
      </c>
      <c r="R38" s="38" t="str">
        <f t="shared" si="10"/>
        <v/>
      </c>
      <c r="S38" s="38"/>
      <c r="T38" s="37"/>
      <c r="U38" s="37"/>
      <c r="V38" s="37"/>
      <c r="W38" s="37"/>
      <c r="X38" s="44" t="str">
        <f t="shared" si="1"/>
        <v/>
      </c>
      <c r="BV38" s="39" t="str">
        <f t="shared" si="2"/>
        <v/>
      </c>
      <c r="BW38" s="14" t="str">
        <f t="shared" si="3"/>
        <v/>
      </c>
      <c r="BX38" s="2" t="str">
        <f>IF(ISERROR(VLOOKUP(B38,CB9:CB177,1,FALSE)),"","x")</f>
        <v/>
      </c>
      <c r="BY38" s="23" t="str">
        <f>IFERROR(B37+1,"")</f>
        <v/>
      </c>
      <c r="BZ38" s="1" t="s">
        <v>16</v>
      </c>
      <c r="CB38" s="22">
        <v>44288</v>
      </c>
      <c r="CC38" s="22"/>
    </row>
    <row r="39" spans="1:90" ht="17.100000000000001" customHeight="1" x14ac:dyDescent="0.2">
      <c r="B39" s="24"/>
      <c r="C39" s="24"/>
      <c r="D39" s="24"/>
      <c r="E39" s="24"/>
      <c r="F39" s="25"/>
      <c r="G39" s="26" t="s">
        <v>5</v>
      </c>
      <c r="H39" s="26"/>
      <c r="I39" s="27"/>
      <c r="K39" s="70">
        <f t="shared" ref="K39:X39" si="13">SUM(K8:K38)</f>
        <v>117</v>
      </c>
      <c r="L39" s="28">
        <f>SUM(L8:L38)/70+M39</f>
        <v>45.142857142857146</v>
      </c>
      <c r="M39" s="143">
        <f>SUM(M8:M38)</f>
        <v>0</v>
      </c>
      <c r="N39" s="28">
        <f t="shared" ref="N39" si="14">SUM(N8:N38)</f>
        <v>0</v>
      </c>
      <c r="O39" s="28">
        <f t="shared" si="13"/>
        <v>85</v>
      </c>
      <c r="P39" s="28">
        <f t="shared" si="13"/>
        <v>0</v>
      </c>
      <c r="Q39" s="28">
        <f t="shared" si="13"/>
        <v>0</v>
      </c>
      <c r="R39" s="28">
        <f>SUM(R8:R38)</f>
        <v>0</v>
      </c>
      <c r="S39" s="28">
        <f t="shared" ref="S39" si="15">SUM(S8:S38)</f>
        <v>0</v>
      </c>
      <c r="T39" s="28">
        <f t="shared" si="13"/>
        <v>0</v>
      </c>
      <c r="U39" s="28">
        <f t="shared" si="13"/>
        <v>0</v>
      </c>
      <c r="V39" s="28">
        <f t="shared" si="13"/>
        <v>0</v>
      </c>
      <c r="W39" s="28">
        <f t="shared" si="13"/>
        <v>0</v>
      </c>
      <c r="X39" s="29">
        <f t="shared" si="13"/>
        <v>117</v>
      </c>
      <c r="BW39" s="2" t="str">
        <f>IF(ISERROR(VLOOKUP(BX39,CA8:CA177,1,FALSE)),"","x")</f>
        <v/>
      </c>
      <c r="BX39" s="23"/>
      <c r="BY39" s="23">
        <f>IFERROR(B38+1,"")</f>
        <v>32</v>
      </c>
      <c r="BZ39" s="1" t="s">
        <v>17</v>
      </c>
      <c r="CB39" s="22">
        <v>44290</v>
      </c>
      <c r="CH39" s="77"/>
      <c r="CL39" s="77"/>
    </row>
    <row r="40" spans="1:90" ht="17.100000000000001" customHeight="1" thickBot="1" x14ac:dyDescent="0.25">
      <c r="B40" s="24"/>
      <c r="C40" s="24"/>
      <c r="D40" s="24"/>
      <c r="E40" s="24"/>
      <c r="F40" s="25"/>
      <c r="G40" s="26"/>
      <c r="H40" s="26"/>
      <c r="I40" s="27"/>
      <c r="K40" s="71">
        <f t="shared" ref="K40:R40" si="16">K39*K6</f>
        <v>2164.5</v>
      </c>
      <c r="L40" s="30">
        <f t="shared" si="16"/>
        <v>835.14285714285722</v>
      </c>
      <c r="M40" s="30">
        <f>M39*M6</f>
        <v>0</v>
      </c>
      <c r="N40" s="30">
        <f t="shared" ref="N40" si="17">N39*N6</f>
        <v>0</v>
      </c>
      <c r="O40" s="30">
        <f t="shared" si="16"/>
        <v>393.125</v>
      </c>
      <c r="P40" s="30">
        <f t="shared" si="16"/>
        <v>0</v>
      </c>
      <c r="Q40" s="30">
        <f t="shared" si="16"/>
        <v>0</v>
      </c>
      <c r="R40" s="30">
        <f t="shared" si="16"/>
        <v>0</v>
      </c>
      <c r="S40" s="30">
        <f>S39*Q6</f>
        <v>0</v>
      </c>
      <c r="T40" s="30">
        <f>T39*R6</f>
        <v>0</v>
      </c>
      <c r="U40" s="30">
        <f>U39*T6</f>
        <v>0</v>
      </c>
      <c r="V40" s="30">
        <f>V39*U6</f>
        <v>0</v>
      </c>
      <c r="W40" s="30">
        <f>W39*V6</f>
        <v>0</v>
      </c>
      <c r="X40" s="31">
        <f>(COUNTIF(A8:A50,"Mo")+COUNTIF(A8:A50,"Di")+COUNTIF(A8:A50,"Mi")+COUNTIF(A8:A50,"Do")+COUNTIF(A8:A50,"Fr"))*8</f>
        <v>0</v>
      </c>
      <c r="BZ40" s="1" t="s">
        <v>18</v>
      </c>
      <c r="CB40" s="22">
        <v>44291</v>
      </c>
      <c r="CH40" s="77"/>
      <c r="CL40" s="77"/>
    </row>
    <row r="41" spans="1:90" ht="17.100000000000001" customHeight="1" x14ac:dyDescent="0.2">
      <c r="B41" s="24"/>
      <c r="C41" s="24"/>
      <c r="D41" s="24"/>
      <c r="E41" s="24"/>
      <c r="F41" s="25"/>
      <c r="G41" s="26"/>
      <c r="H41" s="26"/>
      <c r="I41" s="27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/>
      <c r="X41" s="33"/>
      <c r="CB41" s="22"/>
      <c r="CL41" s="77"/>
    </row>
    <row r="42" spans="1:90" ht="17.100000000000001" customHeight="1" x14ac:dyDescent="0.2">
      <c r="B42" s="24"/>
      <c r="C42" s="24"/>
      <c r="D42" s="24"/>
      <c r="E42" s="24"/>
      <c r="F42" s="25"/>
      <c r="G42" s="26"/>
      <c r="H42" s="26"/>
      <c r="I42" s="27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3"/>
      <c r="X42" s="33">
        <f>X39+L39+N39</f>
        <v>162.14285714285714</v>
      </c>
      <c r="Y42" s="90" t="s">
        <v>63</v>
      </c>
      <c r="CB42" s="22"/>
    </row>
    <row r="43" spans="1:90" ht="17.100000000000001" customHeight="1" x14ac:dyDescent="0.2">
      <c r="B43" s="177" t="s">
        <v>93</v>
      </c>
      <c r="C43" s="177"/>
      <c r="D43" s="177"/>
      <c r="E43" s="177"/>
      <c r="F43" s="177"/>
      <c r="G43" s="177"/>
      <c r="H43" s="1"/>
      <c r="X43" s="77">
        <f>X42-X40</f>
        <v>162.14285714285714</v>
      </c>
      <c r="Y43" s="90" t="s">
        <v>61</v>
      </c>
      <c r="BZ43" s="1" t="s">
        <v>19</v>
      </c>
      <c r="CB43" s="22">
        <v>44317</v>
      </c>
    </row>
    <row r="44" spans="1:90" ht="17.100000000000001" customHeight="1" x14ac:dyDescent="0.2">
      <c r="B44" s="177" t="s">
        <v>94</v>
      </c>
      <c r="C44" s="177"/>
      <c r="D44" s="177"/>
      <c r="E44" s="177"/>
      <c r="F44" s="177"/>
      <c r="G44" s="177"/>
      <c r="X44" s="77">
        <f>K39-X40</f>
        <v>117</v>
      </c>
      <c r="Y44" s="90" t="s">
        <v>62</v>
      </c>
      <c r="BZ44" s="1" t="s">
        <v>20</v>
      </c>
      <c r="CB44" s="22">
        <v>44329</v>
      </c>
    </row>
    <row r="45" spans="1:90" ht="17.100000000000001" customHeight="1" x14ac:dyDescent="0.2">
      <c r="B45" s="48" t="s">
        <v>89</v>
      </c>
      <c r="C45" s="48"/>
      <c r="D45" s="48"/>
      <c r="E45" s="48"/>
      <c r="F45" s="48"/>
      <c r="G45" s="48"/>
      <c r="H45" s="1"/>
      <c r="BZ45" s="1" t="s">
        <v>21</v>
      </c>
      <c r="CB45" s="22">
        <v>44339</v>
      </c>
    </row>
    <row r="46" spans="1:90" ht="18" customHeight="1" x14ac:dyDescent="0.2">
      <c r="B46" s="177" t="s">
        <v>88</v>
      </c>
      <c r="C46" s="177"/>
      <c r="D46" s="177"/>
      <c r="E46" s="177"/>
      <c r="F46" s="177"/>
      <c r="G46" s="177"/>
      <c r="H46" s="1"/>
      <c r="I46" s="1"/>
      <c r="BZ46" s="1" t="s">
        <v>22</v>
      </c>
      <c r="CB46" s="22">
        <v>44340</v>
      </c>
    </row>
    <row r="47" spans="1:90" ht="18" customHeight="1" x14ac:dyDescent="0.2">
      <c r="H47" s="1"/>
      <c r="I47" s="1"/>
      <c r="BZ47" s="1" t="s">
        <v>23</v>
      </c>
      <c r="CB47" s="22">
        <v>44350</v>
      </c>
    </row>
    <row r="48" spans="1:90" ht="18" customHeight="1" x14ac:dyDescent="0.2">
      <c r="B48" s="177"/>
      <c r="C48" s="177"/>
      <c r="D48" s="177"/>
      <c r="E48" s="177"/>
      <c r="F48" s="177"/>
      <c r="G48" s="177"/>
      <c r="H48" s="1"/>
      <c r="I48" s="1"/>
      <c r="BZ48" s="1" t="s">
        <v>24</v>
      </c>
      <c r="CB48" s="22">
        <v>44472</v>
      </c>
    </row>
    <row r="49" spans="2:80" ht="18" customHeight="1" x14ac:dyDescent="0.2">
      <c r="B49" s="177"/>
      <c r="C49" s="177"/>
      <c r="D49" s="177"/>
      <c r="E49" s="177"/>
      <c r="F49" s="177"/>
      <c r="G49" s="177"/>
      <c r="H49" s="1"/>
      <c r="I49" s="1"/>
      <c r="BZ49" s="1" t="s">
        <v>25</v>
      </c>
      <c r="CB49" s="22">
        <v>44501</v>
      </c>
    </row>
    <row r="50" spans="2:80" ht="18" customHeight="1" x14ac:dyDescent="0.2">
      <c r="B50" s="177"/>
      <c r="C50" s="177"/>
      <c r="D50" s="177"/>
      <c r="E50" s="177"/>
      <c r="F50" s="177"/>
      <c r="G50" s="177"/>
      <c r="H50" s="1"/>
      <c r="I50" s="1"/>
      <c r="BZ50" s="1" t="s">
        <v>26</v>
      </c>
      <c r="CB50" s="22">
        <v>44555</v>
      </c>
    </row>
    <row r="51" spans="2:80" ht="18" customHeight="1" x14ac:dyDescent="0.2">
      <c r="B51" s="48"/>
      <c r="C51" s="48"/>
      <c r="D51" s="48"/>
      <c r="E51" s="48"/>
      <c r="F51" s="48"/>
      <c r="G51" s="48"/>
      <c r="H51" s="1"/>
      <c r="I51" s="1"/>
      <c r="BZ51" s="1" t="s">
        <v>27</v>
      </c>
      <c r="CB51" s="22">
        <v>44556</v>
      </c>
    </row>
    <row r="52" spans="2:80" ht="18" customHeight="1" x14ac:dyDescent="0.2">
      <c r="B52" s="144"/>
      <c r="C52" s="144"/>
      <c r="D52" s="144"/>
      <c r="E52" s="144"/>
      <c r="F52" s="48"/>
      <c r="G52" s="48"/>
      <c r="CB52" s="2"/>
    </row>
    <row r="53" spans="2:80" x14ac:dyDescent="0.2">
      <c r="B53" s="144"/>
      <c r="C53" s="144"/>
      <c r="D53" s="144"/>
      <c r="E53" s="144"/>
      <c r="F53" s="48"/>
      <c r="G53" s="48"/>
      <c r="BZ53" s="1" t="s">
        <v>15</v>
      </c>
      <c r="CB53" s="22">
        <v>44562</v>
      </c>
    </row>
    <row r="54" spans="2:80" x14ac:dyDescent="0.2">
      <c r="B54" s="35"/>
      <c r="C54" s="35"/>
      <c r="D54" s="35"/>
      <c r="E54" s="35"/>
      <c r="F54" s="2"/>
      <c r="G54" s="1"/>
      <c r="H54" s="1"/>
      <c r="I54" s="1"/>
      <c r="BZ54" s="1" t="s">
        <v>16</v>
      </c>
      <c r="CB54" s="22">
        <v>44666</v>
      </c>
    </row>
    <row r="55" spans="2:80" x14ac:dyDescent="0.2">
      <c r="B55" s="35"/>
      <c r="C55" s="35"/>
      <c r="D55" s="35"/>
      <c r="E55" s="35"/>
      <c r="F55" s="2"/>
      <c r="G55" s="1"/>
      <c r="H55" s="1"/>
      <c r="I55" s="1"/>
      <c r="BZ55" s="1" t="s">
        <v>17</v>
      </c>
      <c r="CB55" s="22">
        <v>44668</v>
      </c>
    </row>
    <row r="56" spans="2:80" x14ac:dyDescent="0.2">
      <c r="BZ56" s="1" t="s">
        <v>18</v>
      </c>
      <c r="CB56" s="22">
        <v>44669</v>
      </c>
    </row>
    <row r="57" spans="2:80" x14ac:dyDescent="0.2">
      <c r="BZ57" s="1" t="s">
        <v>19</v>
      </c>
      <c r="CB57" s="22">
        <v>44682</v>
      </c>
    </row>
    <row r="58" spans="2:80" x14ac:dyDescent="0.2">
      <c r="BZ58" s="1" t="s">
        <v>20</v>
      </c>
      <c r="CB58" s="22">
        <v>44707</v>
      </c>
    </row>
    <row r="59" spans="2:80" x14ac:dyDescent="0.2">
      <c r="BZ59" s="1" t="s">
        <v>21</v>
      </c>
      <c r="CB59" s="22">
        <v>44717</v>
      </c>
    </row>
    <row r="60" spans="2:80" x14ac:dyDescent="0.2">
      <c r="BZ60" s="1" t="s">
        <v>22</v>
      </c>
      <c r="CB60" s="22">
        <v>44718</v>
      </c>
    </row>
    <row r="61" spans="2:80" x14ac:dyDescent="0.2">
      <c r="BZ61" s="1" t="s">
        <v>23</v>
      </c>
      <c r="CB61" s="22">
        <v>44728</v>
      </c>
    </row>
    <row r="62" spans="2:80" x14ac:dyDescent="0.2">
      <c r="BZ62" s="1" t="s">
        <v>24</v>
      </c>
      <c r="CB62" s="22">
        <v>44837</v>
      </c>
    </row>
    <row r="63" spans="2:80" x14ac:dyDescent="0.2">
      <c r="BZ63" s="1" t="s">
        <v>25</v>
      </c>
      <c r="CB63" s="22">
        <v>44866</v>
      </c>
    </row>
    <row r="64" spans="2:80" x14ac:dyDescent="0.2">
      <c r="BZ64" s="1" t="s">
        <v>26</v>
      </c>
      <c r="CB64" s="22">
        <v>44920</v>
      </c>
    </row>
    <row r="65" spans="78:80" x14ac:dyDescent="0.2">
      <c r="BZ65" s="1" t="s">
        <v>27</v>
      </c>
      <c r="CB65" s="22">
        <v>44921</v>
      </c>
    </row>
    <row r="66" spans="78:80" x14ac:dyDescent="0.2">
      <c r="CB66" s="2"/>
    </row>
    <row r="67" spans="78:80" x14ac:dyDescent="0.2">
      <c r="BZ67" s="1" t="s">
        <v>15</v>
      </c>
      <c r="CB67" s="22">
        <v>44927</v>
      </c>
    </row>
    <row r="68" spans="78:80" x14ac:dyDescent="0.2">
      <c r="BZ68" s="1" t="s">
        <v>16</v>
      </c>
      <c r="CB68" s="22">
        <v>45023</v>
      </c>
    </row>
    <row r="69" spans="78:80" x14ac:dyDescent="0.2">
      <c r="BZ69" s="1" t="s">
        <v>17</v>
      </c>
      <c r="CB69" s="22">
        <v>45025</v>
      </c>
    </row>
    <row r="70" spans="78:80" x14ac:dyDescent="0.2">
      <c r="BZ70" s="1" t="s">
        <v>18</v>
      </c>
      <c r="CB70" s="22">
        <v>45026</v>
      </c>
    </row>
    <row r="71" spans="78:80" x14ac:dyDescent="0.2">
      <c r="BZ71" s="1" t="s">
        <v>19</v>
      </c>
      <c r="CB71" s="22">
        <v>45047</v>
      </c>
    </row>
    <row r="72" spans="78:80" x14ac:dyDescent="0.2">
      <c r="BZ72" s="1" t="s">
        <v>20</v>
      </c>
      <c r="CB72" s="22">
        <v>45064</v>
      </c>
    </row>
    <row r="73" spans="78:80" x14ac:dyDescent="0.2">
      <c r="BZ73" s="1" t="s">
        <v>21</v>
      </c>
      <c r="CB73" s="22">
        <v>45074</v>
      </c>
    </row>
    <row r="74" spans="78:80" x14ac:dyDescent="0.2">
      <c r="BZ74" s="1" t="s">
        <v>22</v>
      </c>
      <c r="CB74" s="22">
        <v>45075</v>
      </c>
    </row>
    <row r="75" spans="78:80" x14ac:dyDescent="0.2">
      <c r="BZ75" s="1" t="s">
        <v>23</v>
      </c>
      <c r="CB75" s="22">
        <v>45085</v>
      </c>
    </row>
    <row r="76" spans="78:80" x14ac:dyDescent="0.2">
      <c r="BZ76" s="1" t="s">
        <v>24</v>
      </c>
      <c r="CB76" s="22">
        <v>45202</v>
      </c>
    </row>
    <row r="77" spans="78:80" x14ac:dyDescent="0.2">
      <c r="BZ77" s="1" t="s">
        <v>25</v>
      </c>
      <c r="CB77" s="22">
        <v>45231</v>
      </c>
    </row>
    <row r="78" spans="78:80" x14ac:dyDescent="0.2">
      <c r="BZ78" s="1" t="s">
        <v>26</v>
      </c>
      <c r="CB78" s="22">
        <v>45285</v>
      </c>
    </row>
    <row r="79" spans="78:80" x14ac:dyDescent="0.2">
      <c r="BZ79" s="1" t="s">
        <v>27</v>
      </c>
      <c r="CB79" s="22">
        <v>45286</v>
      </c>
    </row>
    <row r="80" spans="78:80" x14ac:dyDescent="0.2">
      <c r="CB80" s="2"/>
    </row>
    <row r="81" spans="78:80" x14ac:dyDescent="0.2">
      <c r="BZ81" s="1" t="s">
        <v>15</v>
      </c>
      <c r="CB81" s="22">
        <v>45292</v>
      </c>
    </row>
    <row r="82" spans="78:80" x14ac:dyDescent="0.2">
      <c r="BZ82" s="1" t="s">
        <v>16</v>
      </c>
      <c r="CB82" s="22">
        <v>45380</v>
      </c>
    </row>
    <row r="83" spans="78:80" x14ac:dyDescent="0.2">
      <c r="BZ83" s="1" t="s">
        <v>17</v>
      </c>
      <c r="CB83" s="22">
        <v>45382</v>
      </c>
    </row>
    <row r="84" spans="78:80" x14ac:dyDescent="0.2">
      <c r="BZ84" s="1" t="s">
        <v>18</v>
      </c>
      <c r="CB84" s="22">
        <v>45383</v>
      </c>
    </row>
    <row r="85" spans="78:80" x14ac:dyDescent="0.2">
      <c r="BZ85" s="1" t="s">
        <v>19</v>
      </c>
      <c r="CB85" s="22">
        <v>45413</v>
      </c>
    </row>
    <row r="86" spans="78:80" x14ac:dyDescent="0.2">
      <c r="BZ86" s="1" t="s">
        <v>20</v>
      </c>
      <c r="CB86" s="22">
        <v>45421</v>
      </c>
    </row>
    <row r="87" spans="78:80" x14ac:dyDescent="0.2">
      <c r="BZ87" s="1" t="s">
        <v>21</v>
      </c>
      <c r="CB87" s="22">
        <v>45431</v>
      </c>
    </row>
    <row r="88" spans="78:80" x14ac:dyDescent="0.2">
      <c r="BZ88" s="1" t="s">
        <v>22</v>
      </c>
      <c r="CB88" s="22">
        <v>45432</v>
      </c>
    </row>
    <row r="89" spans="78:80" x14ac:dyDescent="0.2">
      <c r="BZ89" s="1" t="s">
        <v>23</v>
      </c>
      <c r="CB89" s="22">
        <v>45442</v>
      </c>
    </row>
    <row r="90" spans="78:80" x14ac:dyDescent="0.2">
      <c r="BZ90" s="1" t="s">
        <v>24</v>
      </c>
      <c r="CB90" s="22">
        <v>45568</v>
      </c>
    </row>
    <row r="91" spans="78:80" x14ac:dyDescent="0.2">
      <c r="BZ91" s="1" t="s">
        <v>25</v>
      </c>
      <c r="CB91" s="22">
        <v>45597</v>
      </c>
    </row>
    <row r="92" spans="78:80" x14ac:dyDescent="0.2">
      <c r="BZ92" s="1" t="s">
        <v>26</v>
      </c>
      <c r="CB92" s="22">
        <v>45651</v>
      </c>
    </row>
    <row r="93" spans="78:80" x14ac:dyDescent="0.2">
      <c r="BZ93" s="1" t="s">
        <v>27</v>
      </c>
      <c r="CB93" s="22">
        <v>45652</v>
      </c>
    </row>
    <row r="94" spans="78:80" x14ac:dyDescent="0.2">
      <c r="CB94" s="2"/>
    </row>
    <row r="95" spans="78:80" x14ac:dyDescent="0.2">
      <c r="BZ95" s="1" t="s">
        <v>15</v>
      </c>
      <c r="CB95" s="22">
        <v>45658</v>
      </c>
    </row>
    <row r="96" spans="78:80" x14ac:dyDescent="0.2">
      <c r="BZ96" s="1" t="s">
        <v>16</v>
      </c>
      <c r="CB96" s="22">
        <v>45765</v>
      </c>
    </row>
    <row r="97" spans="78:80" x14ac:dyDescent="0.2">
      <c r="BZ97" s="1" t="s">
        <v>17</v>
      </c>
      <c r="CB97" s="22">
        <v>45767</v>
      </c>
    </row>
    <row r="98" spans="78:80" x14ac:dyDescent="0.2">
      <c r="BZ98" s="1" t="s">
        <v>18</v>
      </c>
      <c r="CB98" s="22">
        <v>45768</v>
      </c>
    </row>
    <row r="99" spans="78:80" x14ac:dyDescent="0.2">
      <c r="BZ99" s="1" t="s">
        <v>19</v>
      </c>
      <c r="CB99" s="22">
        <v>45778</v>
      </c>
    </row>
    <row r="100" spans="78:80" x14ac:dyDescent="0.2">
      <c r="BZ100" s="1" t="s">
        <v>20</v>
      </c>
      <c r="CB100" s="22">
        <v>45806</v>
      </c>
    </row>
    <row r="101" spans="78:80" x14ac:dyDescent="0.2">
      <c r="BZ101" s="1" t="s">
        <v>21</v>
      </c>
      <c r="CB101" s="22">
        <v>45816</v>
      </c>
    </row>
    <row r="102" spans="78:80" x14ac:dyDescent="0.2">
      <c r="BZ102" s="1" t="s">
        <v>22</v>
      </c>
      <c r="CB102" s="22">
        <v>45817</v>
      </c>
    </row>
    <row r="103" spans="78:80" x14ac:dyDescent="0.2">
      <c r="BZ103" s="1" t="s">
        <v>23</v>
      </c>
      <c r="CB103" s="22">
        <v>45827</v>
      </c>
    </row>
    <row r="104" spans="78:80" x14ac:dyDescent="0.2">
      <c r="BZ104" s="1" t="s">
        <v>24</v>
      </c>
      <c r="CB104" s="22">
        <v>45933</v>
      </c>
    </row>
    <row r="105" spans="78:80" x14ac:dyDescent="0.2">
      <c r="BZ105" s="1" t="s">
        <v>25</v>
      </c>
      <c r="CB105" s="22">
        <v>45962</v>
      </c>
    </row>
    <row r="106" spans="78:80" x14ac:dyDescent="0.2">
      <c r="BZ106" s="1" t="s">
        <v>26</v>
      </c>
      <c r="CB106" s="22">
        <v>46016</v>
      </c>
    </row>
    <row r="107" spans="78:80" x14ac:dyDescent="0.2">
      <c r="BZ107" s="1" t="s">
        <v>27</v>
      </c>
      <c r="CB107" s="22">
        <v>46017</v>
      </c>
    </row>
    <row r="108" spans="78:80" x14ac:dyDescent="0.2">
      <c r="CB108" s="2"/>
    </row>
    <row r="109" spans="78:80" x14ac:dyDescent="0.2">
      <c r="BZ109" s="1" t="s">
        <v>15</v>
      </c>
      <c r="CB109" s="22">
        <v>46023</v>
      </c>
    </row>
    <row r="110" spans="78:80" x14ac:dyDescent="0.2">
      <c r="BZ110" s="1" t="s">
        <v>16</v>
      </c>
      <c r="CB110" s="22">
        <v>46115</v>
      </c>
    </row>
    <row r="111" spans="78:80" x14ac:dyDescent="0.2">
      <c r="BZ111" s="1" t="s">
        <v>17</v>
      </c>
      <c r="CB111" s="22">
        <v>46117</v>
      </c>
    </row>
    <row r="112" spans="78:80" x14ac:dyDescent="0.2">
      <c r="BZ112" s="1" t="s">
        <v>18</v>
      </c>
      <c r="CB112" s="22">
        <v>46118</v>
      </c>
    </row>
    <row r="113" spans="78:80" x14ac:dyDescent="0.2">
      <c r="BZ113" s="1" t="s">
        <v>19</v>
      </c>
      <c r="CB113" s="22">
        <v>46143</v>
      </c>
    </row>
    <row r="114" spans="78:80" x14ac:dyDescent="0.2">
      <c r="BZ114" s="1" t="s">
        <v>20</v>
      </c>
      <c r="CB114" s="22">
        <v>46156</v>
      </c>
    </row>
    <row r="115" spans="78:80" x14ac:dyDescent="0.2">
      <c r="BZ115" s="1" t="s">
        <v>21</v>
      </c>
      <c r="CB115" s="22">
        <v>46166</v>
      </c>
    </row>
    <row r="116" spans="78:80" x14ac:dyDescent="0.2">
      <c r="BZ116" s="1" t="s">
        <v>22</v>
      </c>
      <c r="CB116" s="22">
        <v>46167</v>
      </c>
    </row>
    <row r="117" spans="78:80" x14ac:dyDescent="0.2">
      <c r="BZ117" s="1" t="s">
        <v>23</v>
      </c>
      <c r="CB117" s="22">
        <v>46177</v>
      </c>
    </row>
    <row r="118" spans="78:80" x14ac:dyDescent="0.2">
      <c r="BZ118" s="1" t="s">
        <v>24</v>
      </c>
      <c r="CB118" s="22">
        <v>46298</v>
      </c>
    </row>
    <row r="119" spans="78:80" x14ac:dyDescent="0.2">
      <c r="BZ119" s="1" t="s">
        <v>25</v>
      </c>
      <c r="CB119" s="22">
        <v>46327</v>
      </c>
    </row>
    <row r="120" spans="78:80" x14ac:dyDescent="0.2">
      <c r="BZ120" s="1" t="s">
        <v>26</v>
      </c>
      <c r="CB120" s="22">
        <v>46381</v>
      </c>
    </row>
    <row r="121" spans="78:80" x14ac:dyDescent="0.2">
      <c r="BZ121" s="1" t="s">
        <v>27</v>
      </c>
      <c r="CB121" s="22">
        <v>46382</v>
      </c>
    </row>
    <row r="122" spans="78:80" x14ac:dyDescent="0.2">
      <c r="CB122" s="2"/>
    </row>
    <row r="123" spans="78:80" x14ac:dyDescent="0.2">
      <c r="BZ123" s="1" t="s">
        <v>15</v>
      </c>
      <c r="CB123" s="22">
        <v>46388</v>
      </c>
    </row>
    <row r="124" spans="78:80" x14ac:dyDescent="0.2">
      <c r="BZ124" s="1" t="s">
        <v>16</v>
      </c>
      <c r="CB124" s="22">
        <v>46472</v>
      </c>
    </row>
    <row r="125" spans="78:80" x14ac:dyDescent="0.2">
      <c r="BZ125" s="1" t="s">
        <v>17</v>
      </c>
      <c r="CB125" s="22">
        <v>46474</v>
      </c>
    </row>
    <row r="126" spans="78:80" x14ac:dyDescent="0.2">
      <c r="BZ126" s="1" t="s">
        <v>18</v>
      </c>
      <c r="CB126" s="22">
        <v>46475</v>
      </c>
    </row>
    <row r="127" spans="78:80" x14ac:dyDescent="0.2">
      <c r="BZ127" s="1" t="s">
        <v>19</v>
      </c>
      <c r="CB127" s="22">
        <v>46508</v>
      </c>
    </row>
    <row r="128" spans="78:80" x14ac:dyDescent="0.2">
      <c r="BZ128" s="1" t="s">
        <v>20</v>
      </c>
      <c r="CB128" s="22">
        <v>46513</v>
      </c>
    </row>
    <row r="129" spans="78:80" x14ac:dyDescent="0.2">
      <c r="BZ129" s="1" t="s">
        <v>21</v>
      </c>
      <c r="CB129" s="22">
        <v>46523</v>
      </c>
    </row>
    <row r="130" spans="78:80" x14ac:dyDescent="0.2">
      <c r="BZ130" s="1" t="s">
        <v>22</v>
      </c>
      <c r="CB130" s="22">
        <v>46524</v>
      </c>
    </row>
    <row r="131" spans="78:80" x14ac:dyDescent="0.2">
      <c r="BZ131" s="1" t="s">
        <v>23</v>
      </c>
      <c r="CB131" s="22">
        <v>46534</v>
      </c>
    </row>
    <row r="132" spans="78:80" x14ac:dyDescent="0.2">
      <c r="BZ132" s="1" t="s">
        <v>24</v>
      </c>
      <c r="CB132" s="22">
        <v>46663</v>
      </c>
    </row>
    <row r="133" spans="78:80" x14ac:dyDescent="0.2">
      <c r="BZ133" s="1" t="s">
        <v>25</v>
      </c>
      <c r="CB133" s="22">
        <v>46692</v>
      </c>
    </row>
    <row r="134" spans="78:80" x14ac:dyDescent="0.2">
      <c r="BZ134" s="1" t="s">
        <v>26</v>
      </c>
      <c r="CB134" s="22">
        <v>46746</v>
      </c>
    </row>
    <row r="135" spans="78:80" x14ac:dyDescent="0.2">
      <c r="BZ135" s="1" t="s">
        <v>27</v>
      </c>
      <c r="CB135" s="22">
        <v>46747</v>
      </c>
    </row>
    <row r="136" spans="78:80" x14ac:dyDescent="0.2">
      <c r="CB136" s="2"/>
    </row>
    <row r="137" spans="78:80" x14ac:dyDescent="0.2">
      <c r="BZ137" s="1" t="s">
        <v>15</v>
      </c>
      <c r="CB137" s="22">
        <v>46753</v>
      </c>
    </row>
    <row r="138" spans="78:80" x14ac:dyDescent="0.2">
      <c r="BZ138" s="1" t="s">
        <v>16</v>
      </c>
      <c r="CB138" s="22">
        <v>46857</v>
      </c>
    </row>
    <row r="139" spans="78:80" x14ac:dyDescent="0.2">
      <c r="BZ139" s="1" t="s">
        <v>17</v>
      </c>
      <c r="CB139" s="22">
        <v>46859</v>
      </c>
    </row>
    <row r="140" spans="78:80" x14ac:dyDescent="0.2">
      <c r="BZ140" s="1" t="s">
        <v>18</v>
      </c>
      <c r="CB140" s="22">
        <v>46860</v>
      </c>
    </row>
    <row r="141" spans="78:80" x14ac:dyDescent="0.2">
      <c r="BZ141" s="1" t="s">
        <v>19</v>
      </c>
      <c r="CB141" s="22">
        <v>46874</v>
      </c>
    </row>
    <row r="142" spans="78:80" x14ac:dyDescent="0.2">
      <c r="BZ142" s="1" t="s">
        <v>20</v>
      </c>
      <c r="CB142" s="22">
        <v>46898</v>
      </c>
    </row>
    <row r="143" spans="78:80" x14ac:dyDescent="0.2">
      <c r="BZ143" s="1" t="s">
        <v>21</v>
      </c>
      <c r="CB143" s="22">
        <v>46877</v>
      </c>
    </row>
    <row r="144" spans="78:80" x14ac:dyDescent="0.2">
      <c r="BZ144" s="1" t="s">
        <v>22</v>
      </c>
      <c r="CB144" s="22">
        <v>46909</v>
      </c>
    </row>
    <row r="145" spans="78:80" x14ac:dyDescent="0.2">
      <c r="BZ145" s="1" t="s">
        <v>23</v>
      </c>
      <c r="CB145" s="22">
        <v>46919</v>
      </c>
    </row>
    <row r="146" spans="78:80" x14ac:dyDescent="0.2">
      <c r="BZ146" s="1" t="s">
        <v>24</v>
      </c>
      <c r="CB146" s="22">
        <v>47029</v>
      </c>
    </row>
    <row r="147" spans="78:80" x14ac:dyDescent="0.2">
      <c r="BZ147" s="1" t="s">
        <v>25</v>
      </c>
      <c r="CB147" s="22">
        <v>47058</v>
      </c>
    </row>
    <row r="148" spans="78:80" x14ac:dyDescent="0.2">
      <c r="BZ148" s="1" t="s">
        <v>26</v>
      </c>
      <c r="CB148" s="22">
        <v>47112</v>
      </c>
    </row>
    <row r="149" spans="78:80" x14ac:dyDescent="0.2">
      <c r="BZ149" s="1" t="s">
        <v>27</v>
      </c>
      <c r="CB149" s="22">
        <v>47113</v>
      </c>
    </row>
    <row r="150" spans="78:80" x14ac:dyDescent="0.2">
      <c r="CB150" s="2"/>
    </row>
    <row r="151" spans="78:80" x14ac:dyDescent="0.2">
      <c r="BZ151" s="1" t="s">
        <v>15</v>
      </c>
      <c r="CB151" s="22">
        <v>47119</v>
      </c>
    </row>
    <row r="152" spans="78:80" x14ac:dyDescent="0.2">
      <c r="BZ152" s="1" t="s">
        <v>16</v>
      </c>
      <c r="CB152" s="22">
        <v>47207</v>
      </c>
    </row>
    <row r="153" spans="78:80" x14ac:dyDescent="0.2">
      <c r="BZ153" s="1" t="s">
        <v>17</v>
      </c>
      <c r="CB153" s="22">
        <v>47209</v>
      </c>
    </row>
    <row r="154" spans="78:80" x14ac:dyDescent="0.2">
      <c r="BZ154" s="1" t="s">
        <v>18</v>
      </c>
      <c r="CB154" s="22">
        <v>47210</v>
      </c>
    </row>
    <row r="155" spans="78:80" x14ac:dyDescent="0.2">
      <c r="BZ155" s="1" t="s">
        <v>19</v>
      </c>
      <c r="CB155" s="22">
        <v>47239</v>
      </c>
    </row>
    <row r="156" spans="78:80" x14ac:dyDescent="0.2">
      <c r="BZ156" s="1" t="s">
        <v>20</v>
      </c>
      <c r="CB156" s="22">
        <v>47248</v>
      </c>
    </row>
    <row r="157" spans="78:80" x14ac:dyDescent="0.2">
      <c r="BZ157" s="1" t="s">
        <v>21</v>
      </c>
      <c r="CB157" s="22">
        <v>47289</v>
      </c>
    </row>
    <row r="158" spans="78:80" x14ac:dyDescent="0.2">
      <c r="BZ158" s="1" t="s">
        <v>22</v>
      </c>
      <c r="CB158" s="22">
        <v>47290</v>
      </c>
    </row>
    <row r="159" spans="78:80" x14ac:dyDescent="0.2">
      <c r="BZ159" s="1" t="s">
        <v>23</v>
      </c>
      <c r="CB159" s="22">
        <v>47269</v>
      </c>
    </row>
    <row r="160" spans="78:80" x14ac:dyDescent="0.2">
      <c r="BZ160" s="1" t="s">
        <v>24</v>
      </c>
      <c r="CB160" s="22">
        <v>47394</v>
      </c>
    </row>
    <row r="161" spans="78:80" x14ac:dyDescent="0.2">
      <c r="BZ161" s="1" t="s">
        <v>25</v>
      </c>
      <c r="CB161" s="22">
        <v>47423</v>
      </c>
    </row>
    <row r="162" spans="78:80" x14ac:dyDescent="0.2">
      <c r="BZ162" s="1" t="s">
        <v>26</v>
      </c>
      <c r="CB162" s="22">
        <v>47477</v>
      </c>
    </row>
    <row r="163" spans="78:80" x14ac:dyDescent="0.2">
      <c r="BZ163" s="1" t="s">
        <v>27</v>
      </c>
      <c r="CB163" s="22">
        <v>47478</v>
      </c>
    </row>
    <row r="164" spans="78:80" x14ac:dyDescent="0.2">
      <c r="CB164" s="2"/>
    </row>
    <row r="165" spans="78:80" x14ac:dyDescent="0.2">
      <c r="BZ165" s="1" t="s">
        <v>15</v>
      </c>
      <c r="CB165" s="22">
        <v>47484</v>
      </c>
    </row>
    <row r="166" spans="78:80" x14ac:dyDescent="0.2">
      <c r="BZ166" s="1" t="s">
        <v>16</v>
      </c>
      <c r="CB166" s="22">
        <v>47592</v>
      </c>
    </row>
    <row r="167" spans="78:80" x14ac:dyDescent="0.2">
      <c r="BZ167" s="1" t="s">
        <v>17</v>
      </c>
      <c r="CB167" s="22">
        <v>47594</v>
      </c>
    </row>
    <row r="168" spans="78:80" x14ac:dyDescent="0.2">
      <c r="BZ168" s="1" t="s">
        <v>18</v>
      </c>
      <c r="CB168" s="22">
        <v>47595</v>
      </c>
    </row>
    <row r="169" spans="78:80" x14ac:dyDescent="0.2">
      <c r="BZ169" s="1" t="s">
        <v>19</v>
      </c>
      <c r="CB169" s="22">
        <v>47604</v>
      </c>
    </row>
    <row r="170" spans="78:80" x14ac:dyDescent="0.2">
      <c r="BZ170" s="1" t="s">
        <v>20</v>
      </c>
      <c r="CB170" s="22">
        <v>47633</v>
      </c>
    </row>
    <row r="171" spans="78:80" x14ac:dyDescent="0.2">
      <c r="BZ171" s="1" t="s">
        <v>21</v>
      </c>
      <c r="CB171" s="22">
        <v>47643</v>
      </c>
    </row>
    <row r="172" spans="78:80" x14ac:dyDescent="0.2">
      <c r="BZ172" s="1" t="s">
        <v>22</v>
      </c>
      <c r="CB172" s="22">
        <v>47644</v>
      </c>
    </row>
    <row r="173" spans="78:80" x14ac:dyDescent="0.2">
      <c r="BZ173" s="1" t="s">
        <v>23</v>
      </c>
      <c r="CB173" s="22">
        <v>47654</v>
      </c>
    </row>
    <row r="174" spans="78:80" x14ac:dyDescent="0.2">
      <c r="BZ174" s="1" t="s">
        <v>24</v>
      </c>
      <c r="CB174" s="22">
        <v>47759</v>
      </c>
    </row>
    <row r="175" spans="78:80" x14ac:dyDescent="0.2">
      <c r="BZ175" s="1" t="s">
        <v>25</v>
      </c>
      <c r="CB175" s="22">
        <v>47788</v>
      </c>
    </row>
    <row r="176" spans="78:80" x14ac:dyDescent="0.2">
      <c r="BZ176" s="1" t="s">
        <v>26</v>
      </c>
      <c r="CB176" s="22">
        <v>47842</v>
      </c>
    </row>
    <row r="177" spans="78:80" x14ac:dyDescent="0.2">
      <c r="BZ177" s="1" t="s">
        <v>27</v>
      </c>
      <c r="CB177" s="22">
        <v>47843</v>
      </c>
    </row>
  </sheetData>
  <mergeCells count="14">
    <mergeCell ref="B48:G48"/>
    <mergeCell ref="B49:G49"/>
    <mergeCell ref="B50:G50"/>
    <mergeCell ref="BZ7:CA7"/>
    <mergeCell ref="CI7:CK7"/>
    <mergeCell ref="B43:G43"/>
    <mergeCell ref="B46:G46"/>
    <mergeCell ref="B44:G44"/>
    <mergeCell ref="P2:Q2"/>
    <mergeCell ref="B3:G3"/>
    <mergeCell ref="H5:I5"/>
    <mergeCell ref="B6:G6"/>
    <mergeCell ref="A7:C7"/>
    <mergeCell ref="H7:I7"/>
  </mergeCells>
  <phoneticPr fontId="58" type="noConversion"/>
  <conditionalFormatting sqref="A8:E38">
    <cfRule type="expression" dxfId="38" priority="16">
      <formula>WEEKDAY($B8,2)=6</formula>
    </cfRule>
    <cfRule type="expression" dxfId="37" priority="17">
      <formula>WEEKDAY($B8,2)=7</formula>
    </cfRule>
    <cfRule type="expression" dxfId="36" priority="18">
      <formula>VLOOKUP($B8,$CB$9:$CB$175,1,0)</formula>
    </cfRule>
  </conditionalFormatting>
  <conditionalFormatting sqref="F8:I8 F9:F38 G35 I35 G36:I38 H9:I10 G28:G31 G32:I34">
    <cfRule type="expression" dxfId="35" priority="12">
      <formula>WEEKDAY($B8,2)=6</formula>
    </cfRule>
  </conditionalFormatting>
  <conditionalFormatting sqref="F8:I8 F9:F38 G35 I35 G36:I38">
    <cfRule type="expression" dxfId="34" priority="11">
      <formula>VLOOKUP($B8,$CB$9:$CB$175,1,0)</formula>
    </cfRule>
  </conditionalFormatting>
  <conditionalFormatting sqref="F8:I8 H9:I10 F9:F38 G28:G31 G32:I34 G35 I35 G36:I38">
    <cfRule type="expression" dxfId="33" priority="13">
      <formula>WEEKDAY($B8,2)=7</formula>
    </cfRule>
  </conditionalFormatting>
  <conditionalFormatting sqref="G9:G27">
    <cfRule type="expression" dxfId="32" priority="6">
      <formula>WEEKDAY($B9,2)=6</formula>
    </cfRule>
    <cfRule type="expression" dxfId="31" priority="7">
      <formula>WEEKDAY($B9,2)=7</formula>
    </cfRule>
  </conditionalFormatting>
  <conditionalFormatting sqref="G31">
    <cfRule type="expression" dxfId="30" priority="1">
      <formula>WEEKDAY($B31,2)=6</formula>
    </cfRule>
    <cfRule type="expression" dxfId="29" priority="2">
      <formula>WEEKDAY($B31,2)=7</formula>
    </cfRule>
  </conditionalFormatting>
  <conditionalFormatting sqref="G9:I10 G11:G31 G32:I34">
    <cfRule type="expression" dxfId="28" priority="10">
      <formula>VLOOKUP($B9,$CB$9:$CB$175,1,0)</formula>
    </cfRule>
  </conditionalFormatting>
  <conditionalFormatting sqref="H11:I31">
    <cfRule type="expression" dxfId="27" priority="3">
      <formula>VLOOKUP($B11,$AI$9:$AI$175,1,0)</formula>
    </cfRule>
    <cfRule type="expression" dxfId="26" priority="4">
      <formula>WEEKDAY($B11,2)=6</formula>
    </cfRule>
    <cfRule type="expression" dxfId="25" priority="5">
      <formula>WEEKDAY($B11,2)=7</formula>
    </cfRule>
  </conditionalFormatting>
  <conditionalFormatting sqref="J8:K38">
    <cfRule type="expression" dxfId="24" priority="83">
      <formula>VLOOKUP($B8,$CB$9:$CB$175,1,0)</formula>
    </cfRule>
  </conditionalFormatting>
  <conditionalFormatting sqref="J8:L38">
    <cfRule type="expression" dxfId="23" priority="46">
      <formula>WEEKDAY($B8,2)=6</formula>
    </cfRule>
    <cfRule type="expression" dxfId="22" priority="47">
      <formula>WEEKDAY($B8,2)=7</formula>
    </cfRule>
  </conditionalFormatting>
  <conditionalFormatting sqref="L8:L38">
    <cfRule type="expression" dxfId="21" priority="48">
      <formula>VLOOKUP($B8,$BZ$9:$BZ$175,1,0)</formula>
    </cfRule>
  </conditionalFormatting>
  <conditionalFormatting sqref="M8:M38">
    <cfRule type="expression" dxfId="20" priority="103">
      <formula>VLOOKUP($B8,$AH$9:$AH$175,1,0)</formula>
    </cfRule>
    <cfRule type="expression" dxfId="19" priority="104">
      <formula>WEEKDAY($B8,2)=6</formula>
    </cfRule>
    <cfRule type="expression" dxfId="18" priority="105">
      <formula>WEEKDAY($B8,2)=7</formula>
    </cfRule>
  </conditionalFormatting>
  <conditionalFormatting sqref="N8:N38">
    <cfRule type="expression" dxfId="17" priority="49">
      <formula>WEEKDAY($B8,2)=6</formula>
    </cfRule>
    <cfRule type="expression" dxfId="16" priority="50">
      <formula>WEEKDAY($B8,2)=7</formula>
    </cfRule>
    <cfRule type="expression" dxfId="15" priority="51">
      <formula>VLOOKUP($B8,$BZ$9:$BZ$175,1,0)</formula>
    </cfRule>
  </conditionalFormatting>
  <conditionalFormatting sqref="O8:X12 O9:O31 Q9:S38">
    <cfRule type="expression" dxfId="14" priority="145">
      <formula>WEEKDAY($B8,2)=6</formula>
    </cfRule>
    <cfRule type="expression" dxfId="13" priority="146">
      <formula>WEEKDAY($B8,2)=7</formula>
    </cfRule>
  </conditionalFormatting>
  <conditionalFormatting sqref="O8:X38">
    <cfRule type="expression" dxfId="12" priority="392">
      <formula>VLOOKUP($B8,$CB$9:$CB$175,1,0)</formula>
    </cfRule>
  </conditionalFormatting>
  <conditionalFormatting sqref="O13:X38">
    <cfRule type="expression" dxfId="11" priority="154">
      <formula>WEEKDAY($B13,2)=6</formula>
    </cfRule>
    <cfRule type="expression" dxfId="10" priority="155">
      <formula>WEEKDAY($B13,2)=7</formula>
    </cfRule>
  </conditionalFormatting>
  <dataValidations count="2">
    <dataValidation type="list" allowBlank="1" showInputMessage="1" showErrorMessage="1" sqref="J5" xr:uid="{00000000-0002-0000-0100-000000000000}">
      <formula1>$CF$8:$CF$19</formula1>
    </dataValidation>
    <dataValidation type="list" allowBlank="1" showInputMessage="1" showErrorMessage="1" sqref="H5" xr:uid="{00000000-0002-0000-0100-000001000000}">
      <formula1>$CE$8:$CE$19</formula1>
    </dataValidation>
  </dataValidations>
  <pageMargins left="0.70866141732283472" right="0.70866141732283472" top="0.78740157480314965" bottom="0.78740157480314965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54F4-CE97-4039-99A2-0F3192CC792D}">
  <sheetPr>
    <tabColor rgb="FFFF0000"/>
    <pageSetUpPr fitToPage="1"/>
  </sheetPr>
  <dimension ref="B1:U46"/>
  <sheetViews>
    <sheetView showGridLines="0" topLeftCell="A2" zoomScale="115" zoomScaleNormal="115" workbookViewId="0">
      <selection activeCell="I18" sqref="I18"/>
    </sheetView>
  </sheetViews>
  <sheetFormatPr defaultColWidth="11.42578125" defaultRowHeight="15" x14ac:dyDescent="0.25"/>
  <cols>
    <col min="1" max="1" width="5.5703125" style="113" customWidth="1"/>
    <col min="2" max="2" width="5.7109375" style="113" customWidth="1"/>
    <col min="3" max="3" width="8.140625" style="113" customWidth="1"/>
    <col min="4" max="4" width="16.28515625" style="113" customWidth="1"/>
    <col min="5" max="5" width="30.28515625" style="113" customWidth="1"/>
    <col min="6" max="7" width="8.85546875" style="113" customWidth="1"/>
    <col min="8" max="8" width="27.28515625" style="113" bestFit="1" customWidth="1"/>
    <col min="9" max="9" width="11.42578125" style="113"/>
    <col min="10" max="10" width="13.42578125" style="113" customWidth="1"/>
    <col min="11" max="11" width="11.140625" style="113" customWidth="1"/>
    <col min="12" max="12" width="12.28515625" style="113" customWidth="1"/>
    <col min="13" max="13" width="5.7109375" style="113" customWidth="1"/>
    <col min="14" max="14" width="8.140625" style="113" customWidth="1"/>
    <col min="15" max="15" width="5.28515625" style="113" customWidth="1"/>
    <col min="16" max="17" width="11.42578125" style="150"/>
    <col min="18" max="18" width="11.42578125" style="113"/>
    <col min="19" max="20" width="11.42578125" style="150"/>
    <col min="21" max="16384" width="11.42578125" style="113"/>
  </cols>
  <sheetData>
    <row r="1" spans="2:21" ht="21" customHeight="1" x14ac:dyDescent="0.25"/>
    <row r="2" spans="2:21" ht="18" customHeight="1" x14ac:dyDescent="0.25"/>
    <row r="3" spans="2:21" ht="26.25" customHeight="1" x14ac:dyDescent="0.4">
      <c r="D3" s="114" t="s">
        <v>37</v>
      </c>
      <c r="E3" s="115"/>
    </row>
    <row r="4" spans="2:21" ht="15" customHeight="1" x14ac:dyDescent="0.25">
      <c r="G4" s="116"/>
      <c r="H4" s="116"/>
      <c r="I4" s="116"/>
    </row>
    <row r="5" spans="2:21" ht="15" customHeight="1" x14ac:dyDescent="0.25">
      <c r="C5" s="182" t="s">
        <v>36</v>
      </c>
      <c r="D5" s="182"/>
      <c r="E5" s="161" t="s">
        <v>104</v>
      </c>
      <c r="F5" s="117"/>
      <c r="G5" s="118" t="s">
        <v>35</v>
      </c>
      <c r="H5" s="119" t="s">
        <v>34</v>
      </c>
      <c r="I5" s="120">
        <f>'09.September Lohn'!J5</f>
        <v>2026</v>
      </c>
      <c r="J5" s="117"/>
      <c r="K5" s="117"/>
      <c r="L5" s="117"/>
    </row>
    <row r="6" spans="2:21" x14ac:dyDescent="0.25">
      <c r="C6" s="121"/>
      <c r="D6" s="121"/>
      <c r="E6" s="159"/>
      <c r="F6" s="117"/>
      <c r="G6" s="121"/>
      <c r="H6" s="121"/>
      <c r="I6" s="121"/>
      <c r="J6" s="117"/>
      <c r="K6" s="117"/>
      <c r="L6" s="117"/>
    </row>
    <row r="7" spans="2:21" ht="15.75" x14ac:dyDescent="0.25">
      <c r="C7" s="182" t="s">
        <v>70</v>
      </c>
      <c r="D7" s="182"/>
      <c r="E7" s="158" t="s">
        <v>105</v>
      </c>
      <c r="F7" s="117"/>
      <c r="G7" s="117"/>
      <c r="H7" s="117"/>
      <c r="I7" s="117"/>
      <c r="J7" s="117"/>
      <c r="K7" s="117"/>
      <c r="L7" s="117"/>
    </row>
    <row r="8" spans="2:21" x14ac:dyDescent="0.25">
      <c r="C8" s="121"/>
      <c r="D8" s="121"/>
      <c r="E8" s="121"/>
      <c r="F8" s="122" t="s">
        <v>71</v>
      </c>
      <c r="G8" s="117"/>
      <c r="H8" s="117"/>
      <c r="I8" s="117"/>
      <c r="J8" s="117"/>
      <c r="K8" s="117"/>
      <c r="L8" s="117"/>
    </row>
    <row r="9" spans="2:21" ht="29.25" customHeight="1" x14ac:dyDescent="0.25">
      <c r="B9" s="123" t="s">
        <v>72</v>
      </c>
      <c r="C9" s="124" t="s">
        <v>73</v>
      </c>
      <c r="D9" s="124" t="s">
        <v>74</v>
      </c>
      <c r="E9" s="124" t="s">
        <v>0</v>
      </c>
      <c r="F9" s="125" t="s">
        <v>75</v>
      </c>
      <c r="G9" s="125" t="s">
        <v>76</v>
      </c>
      <c r="H9" s="183" t="s">
        <v>77</v>
      </c>
      <c r="I9" s="126" t="s">
        <v>78</v>
      </c>
      <c r="J9" s="126" t="s">
        <v>79</v>
      </c>
      <c r="K9" s="126" t="s">
        <v>80</v>
      </c>
      <c r="L9" s="126" t="s">
        <v>81</v>
      </c>
      <c r="P9" s="133" t="s">
        <v>95</v>
      </c>
      <c r="Q9" s="133"/>
      <c r="R9" s="151"/>
      <c r="S9" s="151"/>
      <c r="T9" s="133" t="s">
        <v>87</v>
      </c>
      <c r="U9" s="151"/>
    </row>
    <row r="10" spans="2:21" ht="17.100000000000001" customHeight="1" x14ac:dyDescent="0.25">
      <c r="B10" s="123" t="str">
        <f>IF(OR('09.September Lohn'!D8="Luxembourg",'09.September Lohn'!D8="Luxemburg",'09.September Lohn'!D8="Lux",'09.September Lohn'!D8="Lu"),"LU",IF(OR('09.September Lohn'!D8="Deutschland",'09.September Lohn'!D8="DE",'09.September Lohn'!D8="DEU",'09.September Lohn'!D8="D"),"D",IF(OR('09.September Lohn'!D8="Niederlande",'09.September Lohn'!D8="Niederland",'09.September Lohn'!D8="Holland",'09.September Lohn'!D8="NL",'09.September Lohn'!D8="Holand",'09.September Lohn'!D8="Niderland"),"NL","")))</f>
        <v/>
      </c>
      <c r="C10" s="127" t="e">
        <f>'09.September Lohn'!B8</f>
        <v>#VALUE!</v>
      </c>
      <c r="D10" s="160"/>
      <c r="E10" s="164"/>
      <c r="F10" s="165"/>
      <c r="G10" s="165"/>
      <c r="H10" s="128" t="str">
        <f>IF(B10="","",IF(AND(F10="",G10=""),"24:00",G10-F10+(G10&lt;F10))*24)</f>
        <v/>
      </c>
      <c r="I10" s="129" t="str">
        <f>IF(B10="","",(IF(OR(B10="NL",B10="LU"),(LOOKUP((H10&gt;=7.5)*6+(H10&gt;=14)*6+(H10=24)*12,{0;6;12;24},{0;21;40;45})),(LOOKUP((H10&gt;=8)*6+(H10=24)*12,{0;6;12;24},{0;20;40})))))</f>
        <v/>
      </c>
      <c r="J10" s="130"/>
      <c r="K10" s="131" t="str">
        <f>IF(AND(B10="D",H10=24),28,IF(AND(B10="D",H10&gt;=8),14,IF(AND(B10="NL",H10=24),"",IF(AND(B10="NL",H10&gt;=14),32,""))))</f>
        <v/>
      </c>
      <c r="L10" s="132" t="str">
        <f>IF(AND(B10="D",H10=24),12,
IF(AND(B10="D",H10&gt;=8),6,
IF(AND(B10="NL",H10=24),"",
IF(AND(B10="NL",H10&gt;=14),8,
""))))</f>
        <v/>
      </c>
      <c r="P10" s="133" t="s">
        <v>96</v>
      </c>
      <c r="Q10" s="133"/>
      <c r="R10" s="151">
        <v>0</v>
      </c>
      <c r="S10" s="151"/>
      <c r="T10" s="133" t="s">
        <v>96</v>
      </c>
      <c r="U10" s="151">
        <v>0</v>
      </c>
    </row>
    <row r="11" spans="2:21" ht="17.100000000000001" customHeight="1" x14ac:dyDescent="0.25">
      <c r="B11" s="123" t="str">
        <f>IF(OR('09.September Lohn'!D9="Luxembourg",'09.September Lohn'!D9="Luxemburg",'09.September Lohn'!D9="Lux",'09.September Lohn'!D9="Lu"),"LU",IF(OR('09.September Lohn'!D9="Deutschland",'09.September Lohn'!D9="DE",'09.September Lohn'!D9="DEU",'09.September Lohn'!D9="D"),"D",IF(OR('09.September Lohn'!D9="Niederlande",'09.September Lohn'!D9="Niederland",'09.September Lohn'!D9="Holland",'09.September Lohn'!D9="NL",'09.September Lohn'!D9="Holand",'09.September Lohn'!D9="Niderland"),"NL","")))</f>
        <v/>
      </c>
      <c r="C11" s="127" t="e">
        <f>'09.September Lohn'!B9</f>
        <v>#VALUE!</v>
      </c>
      <c r="D11" s="160"/>
      <c r="E11" s="164"/>
      <c r="F11" s="165"/>
      <c r="G11" s="165"/>
      <c r="H11" s="128" t="str">
        <f t="shared" ref="H11:H40" si="0">IF(B11="","",IF(AND(F11="",G11=""),"24:00",G11-F11+(G11&lt;F11))*24)</f>
        <v/>
      </c>
      <c r="I11" s="129" t="str">
        <f>IF(B11="","",(IF(OR(B11="NL",B11="LU"),(LOOKUP((H11&gt;=7.5)*6+(H11&gt;=14)*6+(H11=24)*12,{0;6;12;24},{0;21;40;45})),(LOOKUP((H11&gt;=8)*6+(H11=24)*12,{0;6;12;24},{0;20;40})))))</f>
        <v/>
      </c>
      <c r="J11" s="130"/>
      <c r="K11" s="131" t="str">
        <f t="shared" ref="K11:K40" si="1">IF(AND(B11="D",H11=24),28,IF(AND(B11="D",H11&gt;=8),14,IF(AND(B11="NL",H11=24),"",IF(AND(B11="NL",H11&gt;=14),32,""))))</f>
        <v/>
      </c>
      <c r="L11" s="132" t="str">
        <f t="shared" ref="L11:L40" si="2">IF(AND(B11="D",H11=24),12,
IF(AND(B11="D",H11&gt;=8),6,
IF(AND(B11="NL",H11=24),"",
IF(AND(B11="NL",H11&gt;=14),8,
""))))</f>
        <v/>
      </c>
      <c r="P11" s="133" t="s">
        <v>100</v>
      </c>
      <c r="Q11" s="133"/>
      <c r="R11" s="151">
        <v>20</v>
      </c>
      <c r="S11" s="151"/>
      <c r="T11" s="133" t="s">
        <v>97</v>
      </c>
      <c r="U11" s="151">
        <v>21</v>
      </c>
    </row>
    <row r="12" spans="2:21" ht="17.100000000000001" customHeight="1" x14ac:dyDescent="0.25">
      <c r="B12" s="123" t="str">
        <f>IF(OR('09.September Lohn'!D10="Luxembourg",'09.September Lohn'!D10="Luxemburg",'09.September Lohn'!D10="Lux",'09.September Lohn'!D10="Lu"),"LU",IF(OR('09.September Lohn'!D10="Deutschland",'09.September Lohn'!D10="DE",'09.September Lohn'!D10="DEU",'09.September Lohn'!D10="D"),"D",IF(OR('09.September Lohn'!D10="Niederlande",'09.September Lohn'!D10="Niederland",'09.September Lohn'!D10="Holland",'09.September Lohn'!D10="NL",'09.September Lohn'!D10="Holand",'09.September Lohn'!D10="Niderland"),"NL","")))</f>
        <v/>
      </c>
      <c r="C12" s="127" t="e">
        <f>'09.September Lohn'!B10</f>
        <v>#VALUE!</v>
      </c>
      <c r="D12" s="160"/>
      <c r="E12" s="164"/>
      <c r="F12" s="165"/>
      <c r="G12" s="165"/>
      <c r="H12" s="128" t="str">
        <f t="shared" si="0"/>
        <v/>
      </c>
      <c r="I12" s="129" t="str">
        <f>IF(B12="","",(IF(OR(B12="NL",B12="LU"),(LOOKUP((H12&gt;=7.5)*6+(H12&gt;=14)*6+(H12=24)*12,{0;6;12;24},{0;21;40;45})),(LOOKUP((H12&gt;=8)*6+(H12=24)*12,{0;6;12;24},{0;20;40})))))</f>
        <v/>
      </c>
      <c r="J12" s="130"/>
      <c r="K12" s="131" t="str">
        <f t="shared" si="1"/>
        <v/>
      </c>
      <c r="L12" s="132" t="str">
        <f t="shared" si="2"/>
        <v/>
      </c>
      <c r="P12" s="133" t="s">
        <v>99</v>
      </c>
      <c r="Q12" s="133"/>
      <c r="R12" s="151">
        <v>40</v>
      </c>
      <c r="S12" s="151"/>
      <c r="T12" s="133" t="s">
        <v>98</v>
      </c>
      <c r="U12" s="151">
        <v>40</v>
      </c>
    </row>
    <row r="13" spans="2:21" ht="17.100000000000001" customHeight="1" x14ac:dyDescent="0.25">
      <c r="B13" s="123" t="s">
        <v>127</v>
      </c>
      <c r="C13" s="127" t="e">
        <f>'09.September Lohn'!B11</f>
        <v>#VALUE!</v>
      </c>
      <c r="D13" s="160" t="s">
        <v>106</v>
      </c>
      <c r="E13" s="164"/>
      <c r="F13" s="165">
        <v>0.20833333333333334</v>
      </c>
      <c r="G13" s="165">
        <v>0.73958333333333337</v>
      </c>
      <c r="H13" s="128">
        <f t="shared" si="0"/>
        <v>12.75</v>
      </c>
      <c r="I13" s="129">
        <f>IF(B13="","",(IF(OR(B13="NL",B13="LU"),(LOOKUP((H13&gt;=7.5)*6+(H13&gt;=14)*6+(H13=24)*12,{0;6;12;24},{0;21;40;45})),(LOOKUP((H13&gt;=8)*6+(H13=24)*12,{0;6;12;24},{0;20;40})))))</f>
        <v>20</v>
      </c>
      <c r="J13" s="130"/>
      <c r="K13" s="131">
        <f t="shared" si="1"/>
        <v>14</v>
      </c>
      <c r="L13" s="132">
        <f t="shared" si="2"/>
        <v>6</v>
      </c>
      <c r="P13" s="133"/>
      <c r="Q13" s="133"/>
      <c r="R13" s="151"/>
      <c r="S13" s="151"/>
      <c r="T13" s="133" t="s">
        <v>99</v>
      </c>
      <c r="U13" s="151">
        <v>45</v>
      </c>
    </row>
    <row r="14" spans="2:21" ht="17.100000000000001" customHeight="1" x14ac:dyDescent="0.25">
      <c r="B14" s="123"/>
      <c r="C14" s="127" t="e">
        <f>'09.September Lohn'!B12</f>
        <v>#VALUE!</v>
      </c>
      <c r="D14" s="160"/>
      <c r="E14" s="164"/>
      <c r="F14" s="165"/>
      <c r="G14" s="165"/>
      <c r="H14" s="128" t="str">
        <f t="shared" si="0"/>
        <v/>
      </c>
      <c r="I14" s="129" t="str">
        <f>IF(B14="","",(IF(OR(B14="NL",B14="LU"),(LOOKUP((H14&gt;=7.5)*6+(H14&gt;=14)*6+(H14=24)*12,{0;6;12;24},{0;21;40;45})),(LOOKUP((H14&gt;=8)*6+(H14=24)*12,{0;6;12;24},{0;20;40})))))</f>
        <v/>
      </c>
      <c r="J14" s="130"/>
      <c r="K14" s="131" t="str">
        <f t="shared" si="1"/>
        <v/>
      </c>
      <c r="L14" s="132" t="str">
        <f t="shared" si="2"/>
        <v/>
      </c>
      <c r="P14" s="133" t="str">
        <f>IF(AND(B10="D",H10=24),28,IF(AND(B10="D",H10&gt;=8),14,IF(AND(B50="NL",H10&gt;=14),32, "")))</f>
        <v/>
      </c>
      <c r="Q14" s="133"/>
      <c r="R14" s="151"/>
      <c r="S14" s="151"/>
      <c r="T14" s="133"/>
      <c r="U14" s="151"/>
    </row>
    <row r="15" spans="2:21" ht="17.100000000000001" customHeight="1" x14ac:dyDescent="0.25">
      <c r="B15" s="123"/>
      <c r="C15" s="127" t="e">
        <f>'09.September Lohn'!B13</f>
        <v>#VALUE!</v>
      </c>
      <c r="D15" s="160"/>
      <c r="E15" s="164"/>
      <c r="F15" s="165"/>
      <c r="G15" s="165"/>
      <c r="H15" s="128" t="str">
        <f t="shared" si="0"/>
        <v/>
      </c>
      <c r="I15" s="129" t="str">
        <f>IF(B15="","",(IF(OR(B15="NL",B15="LU"),(LOOKUP((H15&gt;=7.5)*6+(H15&gt;=14)*6+(H15=24)*12,{0;6;12;24},{0;21;40;45})),(LOOKUP((H15&gt;=8)*6+(H15=24)*12,{0;6;12;24},{0;20;40})))))</f>
        <v/>
      </c>
      <c r="J15" s="130"/>
      <c r="K15" s="131" t="str">
        <f t="shared" si="1"/>
        <v/>
      </c>
      <c r="L15" s="132" t="str">
        <f t="shared" si="2"/>
        <v/>
      </c>
      <c r="N15" s="133"/>
      <c r="O15" s="133"/>
      <c r="P15" s="151"/>
      <c r="Q15" s="151"/>
      <c r="R15" s="133"/>
      <c r="S15" s="151"/>
    </row>
    <row r="16" spans="2:21" ht="17.100000000000001" customHeight="1" x14ac:dyDescent="0.25">
      <c r="B16" s="123" t="s">
        <v>127</v>
      </c>
      <c r="C16" s="127" t="e">
        <f>'09.September Lohn'!B14</f>
        <v>#VALUE!</v>
      </c>
      <c r="D16" s="160" t="s">
        <v>107</v>
      </c>
      <c r="E16" s="164"/>
      <c r="F16" s="165">
        <v>0.20833333333333334</v>
      </c>
      <c r="G16" s="165">
        <v>0.875</v>
      </c>
      <c r="H16" s="128">
        <f t="shared" si="0"/>
        <v>16</v>
      </c>
      <c r="I16" s="129">
        <f>IF(B16="","",(IF(OR(B16="NL",B16="LU"),(LOOKUP((H16&gt;=7.5)*6+(H16&gt;=14)*6+(H16=24)*12,{0;6;12;24},{0;21;40;45})),(LOOKUP((H16&gt;=8)*6+(H16=24)*12,{0;6;12;24},{0;20;40})))))</f>
        <v>20</v>
      </c>
      <c r="J16" s="130"/>
      <c r="K16" s="131">
        <f t="shared" si="1"/>
        <v>14</v>
      </c>
      <c r="L16" s="132">
        <f t="shared" si="2"/>
        <v>6</v>
      </c>
      <c r="N16" s="133"/>
      <c r="O16" s="133"/>
      <c r="P16" s="151"/>
      <c r="Q16" s="151"/>
      <c r="R16" s="133"/>
      <c r="S16" s="151"/>
    </row>
    <row r="17" spans="2:19" ht="17.100000000000001" customHeight="1" x14ac:dyDescent="0.25">
      <c r="B17" s="123" t="s">
        <v>127</v>
      </c>
      <c r="C17" s="127" t="e">
        <f>'09.September Lohn'!B15</f>
        <v>#VALUE!</v>
      </c>
      <c r="D17" s="160" t="s">
        <v>108</v>
      </c>
      <c r="E17" s="164"/>
      <c r="F17" s="165">
        <v>0.5</v>
      </c>
      <c r="G17" s="165"/>
      <c r="H17" s="128">
        <f t="shared" si="0"/>
        <v>12</v>
      </c>
      <c r="I17" s="129">
        <f>IF(B17="","",(IF(OR(B17="NL",B17="LU"),(LOOKUP((H17&gt;=7.5)*6+(H17&gt;=14)*6+(H17=24)*12,{0;6;12;24},{0;21;40;45})),(LOOKUP((H17&gt;=8)*6+(H17=24)*12,{0;6;12;24},{0;20;40})))))</f>
        <v>20</v>
      </c>
      <c r="J17" s="130"/>
      <c r="K17" s="131">
        <f t="shared" si="1"/>
        <v>14</v>
      </c>
      <c r="L17" s="132">
        <f t="shared" si="2"/>
        <v>6</v>
      </c>
      <c r="N17" s="133"/>
      <c r="O17" s="133"/>
      <c r="P17" s="151"/>
      <c r="Q17" s="151"/>
      <c r="R17" s="133"/>
      <c r="S17" s="151"/>
    </row>
    <row r="18" spans="2:19" ht="17.100000000000001" customHeight="1" x14ac:dyDescent="0.25">
      <c r="B18" s="123" t="s">
        <v>127</v>
      </c>
      <c r="C18" s="127" t="e">
        <f>'09.September Lohn'!B16</f>
        <v>#VALUE!</v>
      </c>
      <c r="D18" s="160" t="s">
        <v>108</v>
      </c>
      <c r="E18" s="164"/>
      <c r="F18" s="165"/>
      <c r="G18" s="165"/>
      <c r="H18" s="128">
        <f t="shared" si="0"/>
        <v>24</v>
      </c>
      <c r="I18" s="129">
        <f>IF(B18="","",(IF(OR(B18="NL",B18="LU"),(LOOKUP((H18&gt;=7.5)*6+(H18&gt;=14)*6+(H18=24)*12,{0;6;12;24},{0;21;40;45})),(LOOKUP((H18&gt;=8)*6+(H18=24)*12,{0;6;12;24},{0;20;40})))))</f>
        <v>40</v>
      </c>
      <c r="J18" s="130"/>
      <c r="K18" s="131">
        <f t="shared" si="1"/>
        <v>28</v>
      </c>
      <c r="L18" s="132">
        <f t="shared" si="2"/>
        <v>12</v>
      </c>
    </row>
    <row r="19" spans="2:19" ht="17.100000000000001" customHeight="1" x14ac:dyDescent="0.25">
      <c r="B19" s="123" t="s">
        <v>127</v>
      </c>
      <c r="C19" s="127" t="e">
        <f>'09.September Lohn'!B17</f>
        <v>#VALUE!</v>
      </c>
      <c r="D19" s="160" t="s">
        <v>108</v>
      </c>
      <c r="E19" s="164"/>
      <c r="F19" s="165"/>
      <c r="G19" s="165"/>
      <c r="H19" s="128">
        <f t="shared" si="0"/>
        <v>24</v>
      </c>
      <c r="I19" s="129">
        <f>IF(B19="","",(IF(OR(B19="NL",B19="LU"),(LOOKUP((H19&gt;=7.5)*6+(H19&gt;=14)*6+(H19=24)*12,{0;6;12;24},{0;21;40;45})),(LOOKUP((H19&gt;=8)*6+(H19=24)*12,{0;6;12;24},{0;20;40})))))</f>
        <v>40</v>
      </c>
      <c r="J19" s="130"/>
      <c r="K19" s="131">
        <f t="shared" si="1"/>
        <v>28</v>
      </c>
      <c r="L19" s="132">
        <f t="shared" si="2"/>
        <v>12</v>
      </c>
    </row>
    <row r="20" spans="2:19" ht="17.100000000000001" customHeight="1" x14ac:dyDescent="0.25">
      <c r="B20" s="123" t="s">
        <v>127</v>
      </c>
      <c r="C20" s="127" t="e">
        <f>'09.September Lohn'!B18</f>
        <v>#VALUE!</v>
      </c>
      <c r="D20" s="160" t="s">
        <v>108</v>
      </c>
      <c r="E20" s="164"/>
      <c r="F20" s="165"/>
      <c r="G20" s="165"/>
      <c r="H20" s="128">
        <f t="shared" si="0"/>
        <v>24</v>
      </c>
      <c r="I20" s="129">
        <f>IF(B20="","",(IF(OR(B20="NL",B20="LU"),(LOOKUP((H20&gt;=7.5)*6+(H20&gt;=14)*6+(H20=24)*12,{0;6;12;24},{0;21;40;45})),(LOOKUP((H20&gt;=8)*6+(H20=24)*12,{0;6;12;24},{0;20;40})))))</f>
        <v>40</v>
      </c>
      <c r="J20" s="130"/>
      <c r="K20" s="131">
        <f t="shared" si="1"/>
        <v>28</v>
      </c>
      <c r="L20" s="132">
        <f t="shared" si="2"/>
        <v>12</v>
      </c>
    </row>
    <row r="21" spans="2:19" ht="17.100000000000001" customHeight="1" x14ac:dyDescent="0.25">
      <c r="B21" s="123" t="s">
        <v>127</v>
      </c>
      <c r="C21" s="127" t="e">
        <f>'09.September Lohn'!B19</f>
        <v>#VALUE!</v>
      </c>
      <c r="D21" s="160" t="s">
        <v>108</v>
      </c>
      <c r="E21" s="164"/>
      <c r="F21" s="165"/>
      <c r="G21" s="165">
        <v>0.70833333333333337</v>
      </c>
      <c r="H21" s="128">
        <f t="shared" si="0"/>
        <v>17</v>
      </c>
      <c r="I21" s="129">
        <f>IF(B21="","",(IF(OR(B21="NL",B21="LU"),(LOOKUP((H21&gt;=7.5)*6+(H21&gt;=14)*6+(H21=24)*12,{0;6;12;24},{0;21;40;45})),(LOOKUP((H21&gt;=8)*6+(H21=24)*12,{0;6;12;24},{0;20;40})))))</f>
        <v>20</v>
      </c>
      <c r="J21" s="130"/>
      <c r="K21" s="131">
        <f t="shared" si="1"/>
        <v>14</v>
      </c>
      <c r="L21" s="132">
        <f t="shared" si="2"/>
        <v>6</v>
      </c>
    </row>
    <row r="22" spans="2:19" ht="17.100000000000001" customHeight="1" x14ac:dyDescent="0.25">
      <c r="B22" s="123"/>
      <c r="C22" s="127" t="e">
        <f>'09.September Lohn'!B20</f>
        <v>#VALUE!</v>
      </c>
      <c r="D22" s="160"/>
      <c r="E22" s="164"/>
      <c r="F22" s="165"/>
      <c r="G22" s="165"/>
      <c r="H22" s="128" t="str">
        <f t="shared" si="0"/>
        <v/>
      </c>
      <c r="I22" s="129" t="str">
        <f>IF(B22="","",(IF(OR(B22="NL",B22="LU"),(LOOKUP((H22&gt;=7.5)*6+(H22&gt;=14)*6+(H22=24)*12,{0;6;12;24},{0;21;40;45})),(LOOKUP((H22&gt;=8)*6+(H22=24)*12,{0;6;12;24},{0;20;40})))))</f>
        <v/>
      </c>
      <c r="J22" s="130"/>
      <c r="K22" s="131" t="str">
        <f t="shared" si="1"/>
        <v/>
      </c>
      <c r="L22" s="132" t="str">
        <f t="shared" si="2"/>
        <v/>
      </c>
    </row>
    <row r="23" spans="2:19" ht="17.100000000000001" customHeight="1" x14ac:dyDescent="0.25">
      <c r="B23" s="123" t="s">
        <v>127</v>
      </c>
      <c r="C23" s="127" t="e">
        <f>'09.September Lohn'!B21</f>
        <v>#VALUE!</v>
      </c>
      <c r="D23" s="160" t="s">
        <v>109</v>
      </c>
      <c r="E23" s="164"/>
      <c r="F23" s="165">
        <v>0.66666666666666663</v>
      </c>
      <c r="G23" s="165">
        <v>0.35416666666666669</v>
      </c>
      <c r="H23" s="128">
        <f t="shared" si="0"/>
        <v>16.5</v>
      </c>
      <c r="I23" s="129">
        <f>IF(B23="","",(IF(OR(B23="NL",B23="LU"),(LOOKUP((H23&gt;=7.5)*6+(H23&gt;=14)*6+(H23=24)*12,{0;6;12;24},{0;21;40;45})),(LOOKUP((H23&gt;=8)*6+(H23=24)*12,{0;6;12;24},{0;20;40})))))</f>
        <v>20</v>
      </c>
      <c r="J23" s="130"/>
      <c r="K23" s="131">
        <f t="shared" si="1"/>
        <v>14</v>
      </c>
      <c r="L23" s="132">
        <f t="shared" si="2"/>
        <v>6</v>
      </c>
    </row>
    <row r="24" spans="2:19" ht="17.100000000000001" customHeight="1" x14ac:dyDescent="0.25">
      <c r="B24" s="123" t="s">
        <v>127</v>
      </c>
      <c r="C24" s="127" t="e">
        <f>'09.September Lohn'!B22</f>
        <v>#VALUE!</v>
      </c>
      <c r="D24" s="160" t="s">
        <v>109</v>
      </c>
      <c r="E24" s="164"/>
      <c r="F24" s="165">
        <v>0.5</v>
      </c>
      <c r="G24" s="165"/>
      <c r="H24" s="128">
        <f t="shared" si="0"/>
        <v>12</v>
      </c>
      <c r="I24" s="129">
        <f>IF(B24="","",(IF(OR(B24="NL",B24="LU"),(LOOKUP((H24&gt;=7.5)*6+(H24&gt;=14)*6+(H24=24)*12,{0;6;12;24},{0;21;40;45})),(LOOKUP((H24&gt;=8)*6+(H24=24)*12,{0;6;12;24},{0;20;40})))))</f>
        <v>20</v>
      </c>
      <c r="J24" s="130"/>
      <c r="K24" s="131">
        <f t="shared" si="1"/>
        <v>14</v>
      </c>
      <c r="L24" s="132">
        <f t="shared" si="2"/>
        <v>6</v>
      </c>
    </row>
    <row r="25" spans="2:19" ht="17.100000000000001" customHeight="1" x14ac:dyDescent="0.25">
      <c r="B25" s="123" t="s">
        <v>127</v>
      </c>
      <c r="C25" s="127" t="e">
        <f>'09.September Lohn'!B23</f>
        <v>#VALUE!</v>
      </c>
      <c r="D25" s="160" t="s">
        <v>109</v>
      </c>
      <c r="E25" s="164"/>
      <c r="F25" s="165"/>
      <c r="G25" s="165"/>
      <c r="H25" s="128">
        <f t="shared" si="0"/>
        <v>24</v>
      </c>
      <c r="I25" s="129">
        <f>IF(B25="","",(IF(OR(B25="NL",B25="LU"),(LOOKUP((H25&gt;=7.5)*6+(H25&gt;=14)*6+(H25=24)*12,{0;6;12;24},{0;21;40;45})),(LOOKUP((H25&gt;=8)*6+(H25=24)*12,{0;6;12;24},{0;20;40})))))</f>
        <v>40</v>
      </c>
      <c r="J25" s="130"/>
      <c r="K25" s="131">
        <f t="shared" si="1"/>
        <v>28</v>
      </c>
      <c r="L25" s="132">
        <f t="shared" si="2"/>
        <v>12</v>
      </c>
    </row>
    <row r="26" spans="2:19" ht="17.100000000000001" customHeight="1" x14ac:dyDescent="0.25">
      <c r="B26" s="123" t="s">
        <v>127</v>
      </c>
      <c r="C26" s="127" t="e">
        <f>'09.September Lohn'!B24</f>
        <v>#VALUE!</v>
      </c>
      <c r="D26" s="160" t="s">
        <v>109</v>
      </c>
      <c r="E26" s="164"/>
      <c r="F26" s="165"/>
      <c r="G26" s="165"/>
      <c r="H26" s="128">
        <f t="shared" si="0"/>
        <v>24</v>
      </c>
      <c r="I26" s="129">
        <f>IF(B26="","",(IF(OR(B26="NL",B26="LU"),(LOOKUP((H26&gt;=7.5)*6+(H26&gt;=14)*6+(H26=24)*12,{0;6;12;24},{0;21;40;45})),(LOOKUP((H26&gt;=8)*6+(H26=24)*12,{0;6;12;24},{0;20;40})))))</f>
        <v>40</v>
      </c>
      <c r="J26" s="130"/>
      <c r="K26" s="131">
        <f t="shared" si="1"/>
        <v>28</v>
      </c>
      <c r="L26" s="132">
        <f t="shared" si="2"/>
        <v>12</v>
      </c>
    </row>
    <row r="27" spans="2:19" ht="17.100000000000001" customHeight="1" x14ac:dyDescent="0.25">
      <c r="B27" s="123" t="s">
        <v>127</v>
      </c>
      <c r="C27" s="127" t="e">
        <f>'09.September Lohn'!B25</f>
        <v>#VALUE!</v>
      </c>
      <c r="D27" s="160" t="s">
        <v>109</v>
      </c>
      <c r="E27" s="164"/>
      <c r="F27" s="165"/>
      <c r="G27" s="165">
        <v>0.75</v>
      </c>
      <c r="H27" s="128">
        <f t="shared" si="0"/>
        <v>18</v>
      </c>
      <c r="I27" s="129">
        <f>IF(B27="","",(IF(OR(B27="NL",B27="LU"),(LOOKUP((H27&gt;=7.5)*6+(H27&gt;=14)*6+(H27=24)*12,{0;6;12;24},{0;21;40;45})),(LOOKUP((H27&gt;=8)*6+(H27=24)*12,{0;6;12;24},{0;20;40})))))</f>
        <v>20</v>
      </c>
      <c r="J27" s="130"/>
      <c r="K27" s="131">
        <f t="shared" si="1"/>
        <v>14</v>
      </c>
      <c r="L27" s="132">
        <f t="shared" si="2"/>
        <v>6</v>
      </c>
    </row>
    <row r="28" spans="2:19" ht="17.100000000000001" customHeight="1" x14ac:dyDescent="0.25">
      <c r="B28" s="123" t="s">
        <v>128</v>
      </c>
      <c r="C28" s="127" t="e">
        <f>'09.September Lohn'!B26</f>
        <v>#VALUE!</v>
      </c>
      <c r="D28" s="160" t="s">
        <v>110</v>
      </c>
      <c r="E28" s="164"/>
      <c r="F28" s="165">
        <v>0.45833333333333331</v>
      </c>
      <c r="G28" s="165">
        <v>0.375</v>
      </c>
      <c r="H28" s="128">
        <f t="shared" si="0"/>
        <v>22</v>
      </c>
      <c r="I28" s="129">
        <f>IF(B28="","",(IF(OR(B28="NL",B28="LU"),(LOOKUP((H28&gt;=7.5)*6+(H28&gt;=14)*6+(H28=24)*12,{0;6;12;24},{0;21;40;45})),(LOOKUP((H28&gt;=8)*6+(H28=24)*12,{0;6;12;24},{0;20;40})))))</f>
        <v>40</v>
      </c>
      <c r="J28" s="130"/>
      <c r="K28" s="131" t="str">
        <f t="shared" si="1"/>
        <v/>
      </c>
      <c r="L28" s="132" t="str">
        <f t="shared" si="2"/>
        <v/>
      </c>
    </row>
    <row r="29" spans="2:19" ht="17.100000000000001" customHeight="1" x14ac:dyDescent="0.25">
      <c r="B29" s="123"/>
      <c r="C29" s="127" t="e">
        <f>'09.September Lohn'!B27</f>
        <v>#VALUE!</v>
      </c>
      <c r="D29" s="160"/>
      <c r="E29" s="164"/>
      <c r="F29" s="165"/>
      <c r="G29" s="165"/>
      <c r="H29" s="128" t="str">
        <f t="shared" si="0"/>
        <v/>
      </c>
      <c r="I29" s="129" t="str">
        <f>IF(B29="","",(IF(OR(B29="NL",B29="LU"),(LOOKUP((H29&gt;=7.5)*6+(H29&gt;=14)*6+(H29=24)*12,{0;6;12;24},{0;21;40;45})),(LOOKUP((H29&gt;=8)*6+(H29=24)*12,{0;6;12;24},{0;20;40})))))</f>
        <v/>
      </c>
      <c r="J29" s="130"/>
      <c r="K29" s="131" t="str">
        <f t="shared" si="1"/>
        <v/>
      </c>
      <c r="L29" s="132" t="str">
        <f t="shared" si="2"/>
        <v/>
      </c>
    </row>
    <row r="30" spans="2:19" ht="17.100000000000001" customHeight="1" x14ac:dyDescent="0.25">
      <c r="B30" s="123"/>
      <c r="C30" s="127" t="e">
        <f>'09.September Lohn'!B28</f>
        <v>#VALUE!</v>
      </c>
      <c r="D30" s="160"/>
      <c r="E30" s="164"/>
      <c r="F30" s="165"/>
      <c r="G30" s="165"/>
      <c r="H30" s="128" t="str">
        <f t="shared" si="0"/>
        <v/>
      </c>
      <c r="I30" s="129" t="str">
        <f>IF(B30="","",(IF(OR(B30="NL",B30="LU"),(LOOKUP((H30&gt;=7.5)*6+(H30&gt;=14)*6+(H30=24)*12,{0;6;12;24},{0;21;40;45})),(LOOKUP((H30&gt;=8)*6+(H30=24)*12,{0;6;12;24},{0;20;40})))))</f>
        <v/>
      </c>
      <c r="J30" s="130"/>
      <c r="K30" s="131" t="str">
        <f t="shared" si="1"/>
        <v/>
      </c>
      <c r="L30" s="132" t="str">
        <f t="shared" si="2"/>
        <v/>
      </c>
    </row>
    <row r="31" spans="2:19" ht="17.100000000000001" customHeight="1" x14ac:dyDescent="0.25">
      <c r="B31" s="123"/>
      <c r="C31" s="127" t="e">
        <f>'09.September Lohn'!B29</f>
        <v>#VALUE!</v>
      </c>
      <c r="D31" s="160"/>
      <c r="E31" s="164"/>
      <c r="F31" s="165"/>
      <c r="G31" s="165"/>
      <c r="H31" s="128" t="str">
        <f t="shared" si="0"/>
        <v/>
      </c>
      <c r="I31" s="129" t="str">
        <f>IF(B31="","",(IF(OR(B31="NL",B31="LU"),(LOOKUP((H31&gt;=7.5)*6+(H31&gt;=14)*6+(H31=24)*12,{0;6;12;24},{0;21;40;45})),(LOOKUP((H31&gt;=8)*6+(H31=24)*12,{0;6;12;24},{0;20;40})))))</f>
        <v/>
      </c>
      <c r="J31" s="130"/>
      <c r="K31" s="131" t="str">
        <f t="shared" si="1"/>
        <v/>
      </c>
      <c r="L31" s="132" t="str">
        <f t="shared" si="2"/>
        <v/>
      </c>
    </row>
    <row r="32" spans="2:19" ht="17.100000000000001" customHeight="1" x14ac:dyDescent="0.25">
      <c r="B32" s="123"/>
      <c r="C32" s="127" t="e">
        <f>'09.September Lohn'!B30</f>
        <v>#VALUE!</v>
      </c>
      <c r="D32" s="160"/>
      <c r="E32" s="164"/>
      <c r="F32" s="165"/>
      <c r="G32" s="165"/>
      <c r="H32" s="128" t="str">
        <f t="shared" si="0"/>
        <v/>
      </c>
      <c r="I32" s="129" t="str">
        <f>IF(B32="","",(IF(OR(B32="NL",B32="LU"),(LOOKUP((H32&gt;=7.5)*6+(H32&gt;=14)*6+(H32=24)*12,{0;6;12;24},{0;21;40;45})),(LOOKUP((H32&gt;=8)*6+(H32=24)*12,{0;6;12;24},{0;20;40})))))</f>
        <v/>
      </c>
      <c r="J32" s="130"/>
      <c r="K32" s="131" t="str">
        <f t="shared" si="1"/>
        <v/>
      </c>
      <c r="L32" s="132" t="str">
        <f t="shared" si="2"/>
        <v/>
      </c>
    </row>
    <row r="33" spans="2:12" ht="17.100000000000001" customHeight="1" x14ac:dyDescent="0.25">
      <c r="B33" s="123" t="s">
        <v>127</v>
      </c>
      <c r="C33" s="127" t="e">
        <f>'09.September Lohn'!B31</f>
        <v>#VALUE!</v>
      </c>
      <c r="D33" s="160" t="s">
        <v>111</v>
      </c>
      <c r="E33" s="164"/>
      <c r="F33" s="165">
        <v>0.75</v>
      </c>
      <c r="G33" s="165">
        <v>0.27083333333333331</v>
      </c>
      <c r="H33" s="128">
        <f t="shared" si="0"/>
        <v>12.499999999999998</v>
      </c>
      <c r="I33" s="129">
        <f>IF(B33="","",(IF(OR(B33="NL",B33="LU"),(LOOKUP((H33&gt;=7.5)*6+(H33&gt;=14)*6+(H33=24)*12,{0;6;12;24},{0;21;40;45})),(LOOKUP((H33&gt;=8)*6+(H33=24)*12,{0;6;12;24},{0;20;40})))))</f>
        <v>20</v>
      </c>
      <c r="J33" s="130"/>
      <c r="K33" s="131">
        <f t="shared" si="1"/>
        <v>14</v>
      </c>
      <c r="L33" s="132">
        <f t="shared" si="2"/>
        <v>6</v>
      </c>
    </row>
    <row r="34" spans="2:12" ht="17.100000000000001" customHeight="1" x14ac:dyDescent="0.25">
      <c r="B34" s="123" t="str">
        <f>IF(OR('09.September Lohn'!D32="Luxembourg",'09.September Lohn'!D32="Luxemburg",'09.September Lohn'!D32="Lux",'09.September Lohn'!D32="Lu"),"LU",IF(OR('09.September Lohn'!D32="Deutschland",'09.September Lohn'!D32="DE",'09.September Lohn'!D32="DEU",'09.September Lohn'!D32="D"),"D",IF(OR('09.September Lohn'!D32="Niederlande",'09.September Lohn'!D32="Niederland",'09.September Lohn'!D32="Holland",'09.September Lohn'!D32="NL",'09.September Lohn'!D32="Holand",'09.September Lohn'!D32="Niderland"),"NL","")))</f>
        <v/>
      </c>
      <c r="C34" s="127" t="e">
        <f>'09.September Lohn'!B32</f>
        <v>#VALUE!</v>
      </c>
      <c r="D34" s="160"/>
      <c r="E34" s="164"/>
      <c r="F34" s="165"/>
      <c r="G34" s="165"/>
      <c r="H34" s="128" t="str">
        <f t="shared" si="0"/>
        <v/>
      </c>
      <c r="I34" s="129" t="str">
        <f>IF(B34="","",(IF(OR(B34="NL",B34="LU"),(LOOKUP((H34&gt;=7.5)*6+(H34&gt;=14)*6+(H34=24)*12,{0;6;12;24},{0;21;40;45})),(LOOKUP((H34&gt;=8)*6+(H34=24)*12,{0;6;12;24},{0;20;40})))))</f>
        <v/>
      </c>
      <c r="J34" s="130"/>
      <c r="K34" s="131" t="str">
        <f t="shared" si="1"/>
        <v/>
      </c>
      <c r="L34" s="132" t="str">
        <f t="shared" si="2"/>
        <v/>
      </c>
    </row>
    <row r="35" spans="2:12" ht="17.100000000000001" customHeight="1" x14ac:dyDescent="0.25">
      <c r="B35" s="123" t="str">
        <f>IF(OR('09.September Lohn'!D33="Luxembourg",'09.September Lohn'!D33="Luxemburg",'09.September Lohn'!D33="Lux",'09.September Lohn'!D33="Lu"),"LU",IF(OR('09.September Lohn'!D33="Deutschland",'09.September Lohn'!D33="DE",'09.September Lohn'!D33="DEU",'09.September Lohn'!D33="D"),"D",IF(OR('09.September Lohn'!D33="Niederlande",'09.September Lohn'!D33="Niederland",'09.September Lohn'!D33="Holland",'09.September Lohn'!D33="NL",'09.September Lohn'!D33="Holand",'09.September Lohn'!D33="Niderland"),"NL","")))</f>
        <v/>
      </c>
      <c r="C35" s="127" t="e">
        <f>'09.September Lohn'!B33</f>
        <v>#VALUE!</v>
      </c>
      <c r="D35" s="160"/>
      <c r="E35" s="164"/>
      <c r="F35" s="165"/>
      <c r="G35" s="165"/>
      <c r="H35" s="128" t="str">
        <f t="shared" si="0"/>
        <v/>
      </c>
      <c r="I35" s="129" t="str">
        <f>IF(B35="","",(IF(OR(B35="NL",B35="LU"),(LOOKUP((H35&gt;=7.5)*6+(H35&gt;=14)*6+(H35=24)*12,{0;6;12;24},{0;21;40;45})),(LOOKUP((H35&gt;=8)*6+(H35=24)*12,{0;6;12;24},{0;20;40})))))</f>
        <v/>
      </c>
      <c r="J35" s="130"/>
      <c r="K35" s="131" t="str">
        <f t="shared" si="1"/>
        <v/>
      </c>
      <c r="L35" s="132" t="str">
        <f t="shared" si="2"/>
        <v/>
      </c>
    </row>
    <row r="36" spans="2:12" ht="17.100000000000001" customHeight="1" x14ac:dyDescent="0.25">
      <c r="B36" s="123" t="str">
        <f>IF(OR('09.September Lohn'!D34="Luxembourg",'09.September Lohn'!D34="Luxemburg",'09.September Lohn'!D34="Lux",'09.September Lohn'!D34="Lu"),"LU",IF(OR('09.September Lohn'!D34="Deutschland",'09.September Lohn'!D34="DE",'09.September Lohn'!D34="DEU",'09.September Lohn'!D34="D"),"D",IF(OR('09.September Lohn'!D34="Niederlande",'09.September Lohn'!D34="Niederland",'09.September Lohn'!D34="Holland",'09.September Lohn'!D34="NL",'09.September Lohn'!D34="Holand",'09.September Lohn'!D34="Niderland"),"NL","")))</f>
        <v/>
      </c>
      <c r="C36" s="127" t="e">
        <f>'09.September Lohn'!B34</f>
        <v>#VALUE!</v>
      </c>
      <c r="D36" s="160"/>
      <c r="E36" s="164"/>
      <c r="F36" s="165"/>
      <c r="G36" s="165"/>
      <c r="H36" s="128" t="str">
        <f t="shared" si="0"/>
        <v/>
      </c>
      <c r="I36" s="129" t="str">
        <f>IF(B36="","",(IF(OR(B36="NL",B36="LU"),(LOOKUP((H36&gt;=7.5)*6+(H36&gt;=14)*6+(H36=24)*12,{0;6;12;24},{0;21;40;45})),(LOOKUP((H36&gt;=8)*6+(H36=24)*12,{0;6;12;24},{0;20;40})))))</f>
        <v/>
      </c>
      <c r="J36" s="130"/>
      <c r="K36" s="131" t="str">
        <f t="shared" si="1"/>
        <v/>
      </c>
      <c r="L36" s="132" t="str">
        <f t="shared" si="2"/>
        <v/>
      </c>
    </row>
    <row r="37" spans="2:12" ht="17.100000000000001" customHeight="1" x14ac:dyDescent="0.25">
      <c r="B37" s="123" t="str">
        <f>IF(OR('09.September Lohn'!D35="Luxembourg",'09.September Lohn'!D35="Luxemburg",'09.September Lohn'!D35="Lux",'09.September Lohn'!D35="Lu"),"LU",IF(OR('09.September Lohn'!D35="Deutschland",'09.September Lohn'!D35="DE",'09.September Lohn'!D35="DEU",'09.September Lohn'!D35="D"),"D",IF(OR('09.September Lohn'!D35="Niederlande",'09.September Lohn'!D35="Niederland",'09.September Lohn'!D35="Holland",'09.September Lohn'!D35="NL",'09.September Lohn'!D35="Holand",'09.September Lohn'!D35="Niderland"),"NL","")))</f>
        <v/>
      </c>
      <c r="C37" s="127" t="e">
        <f>'09.September Lohn'!B35</f>
        <v>#VALUE!</v>
      </c>
      <c r="D37" s="160"/>
      <c r="E37" s="164"/>
      <c r="F37" s="166"/>
      <c r="G37" s="165"/>
      <c r="H37" s="128" t="str">
        <f t="shared" si="0"/>
        <v/>
      </c>
      <c r="I37" s="129" t="str">
        <f>IF(B37="","",(IF(OR(B37="NL",B37="LU"),(LOOKUP((H37&gt;=7.5)*6+(H37&gt;=14)*6+(H37=24)*12,{0;6;12;24},{0;21;40;45})),(LOOKUP((H37&gt;=8)*6+(H37=24)*12,{0;6;12;24},{0;20;40})))))</f>
        <v/>
      </c>
      <c r="J37" s="130"/>
      <c r="K37" s="131" t="str">
        <f t="shared" si="1"/>
        <v/>
      </c>
      <c r="L37" s="132" t="str">
        <f t="shared" si="2"/>
        <v/>
      </c>
    </row>
    <row r="38" spans="2:12" ht="17.100000000000001" customHeight="1" x14ac:dyDescent="0.25">
      <c r="B38" s="123" t="str">
        <f>IF(OR('09.September Lohn'!D36="Luxembourg",'09.September Lohn'!D36="Luxemburg",'09.September Lohn'!D36="Lux",'09.September Lohn'!D36="Lu"),"LU",IF(OR('09.September Lohn'!D36="Deutschland",'09.September Lohn'!D36="DE",'09.September Lohn'!D36="DEU",'09.September Lohn'!D36="D"),"D",IF(OR('09.September Lohn'!D36="Niederlande",'09.September Lohn'!D36="Niederland",'09.September Lohn'!D36="Holland",'09.September Lohn'!D36="NL",'09.September Lohn'!D36="Holand",'09.September Lohn'!D36="Niderland"),"NL","")))</f>
        <v/>
      </c>
      <c r="C38" s="127" t="e">
        <f>'09.September Lohn'!B36</f>
        <v>#VALUE!</v>
      </c>
      <c r="D38" s="160"/>
      <c r="E38" s="164"/>
      <c r="F38" s="165"/>
      <c r="G38" s="165"/>
      <c r="H38" s="128" t="str">
        <f t="shared" si="0"/>
        <v/>
      </c>
      <c r="I38" s="129" t="str">
        <f>IF(B38="","",(IF(OR(B38="NL",B38="LU"),(LOOKUP((H38&gt;=7.5)*6+(H38&gt;=14)*6+(H38=24)*12,{0;6;12;24},{0;21;40;45})),(LOOKUP((H38&gt;=8)*6+(H38=24)*12,{0;6;12;24},{0;20;40})))))</f>
        <v/>
      </c>
      <c r="J38" s="130"/>
      <c r="K38" s="131" t="str">
        <f t="shared" si="1"/>
        <v/>
      </c>
      <c r="L38" s="132" t="str">
        <f t="shared" si="2"/>
        <v/>
      </c>
    </row>
    <row r="39" spans="2:12" ht="17.100000000000001" customHeight="1" x14ac:dyDescent="0.25">
      <c r="B39" s="123" t="str">
        <f>IF(OR('09.September Lohn'!D37="Luxembourg",'09.September Lohn'!D37="Luxemburg",'09.September Lohn'!D37="Lux",'09.September Lohn'!D37="Lu"),"LU",IF(OR('09.September Lohn'!D37="Deutschland",'09.September Lohn'!D37="DE",'09.September Lohn'!D37="DEU",'09.September Lohn'!D37="D"),"D",IF(OR('09.September Lohn'!D37="Niederlande",'09.September Lohn'!D37="Niederland",'09.September Lohn'!D37="Holland",'09.September Lohn'!D37="NL",'09.September Lohn'!D37="Holand",'09.September Lohn'!D37="Niderland"),"NL","")))</f>
        <v/>
      </c>
      <c r="C39" s="127" t="e">
        <f>'09.September Lohn'!B37</f>
        <v>#VALUE!</v>
      </c>
      <c r="D39" s="160"/>
      <c r="E39" s="164"/>
      <c r="F39" s="165"/>
      <c r="G39" s="165"/>
      <c r="H39" s="128" t="str">
        <f t="shared" si="0"/>
        <v/>
      </c>
      <c r="I39" s="129" t="str">
        <f>IF(B39="","",(IF(OR(B39="NL",B39="LU"),(LOOKUP((H39&gt;=7.5)*6+(H39&gt;=14)*6+(H39=24)*12,{0;6;12;24},{0;21;40;45})),(LOOKUP((H39&gt;=8)*6+(H39=24)*12,{0;6;12;24},{0;20;40})))))</f>
        <v/>
      </c>
      <c r="J39" s="130"/>
      <c r="K39" s="131" t="str">
        <f t="shared" si="1"/>
        <v/>
      </c>
      <c r="L39" s="132" t="str">
        <f t="shared" si="2"/>
        <v/>
      </c>
    </row>
    <row r="40" spans="2:12" ht="17.100000000000001" customHeight="1" x14ac:dyDescent="0.25">
      <c r="B40" s="123" t="str">
        <f>IF(OR('09.September Lohn'!D38="Luxembourg",'09.September Lohn'!D38="Luxemburg",'09.September Lohn'!D38="Lux",'09.September Lohn'!D38="Lu"),"LU",IF(OR('09.September Lohn'!D38="Deutschland",'09.September Lohn'!D38="DE",'09.September Lohn'!D38="DEU",'09.September Lohn'!D38="D"),"D",IF(OR('09.September Lohn'!D38="Niederlande",'09.September Lohn'!D38="Niederland",'09.September Lohn'!D38="Holland",'09.September Lohn'!D38="NL",'09.September Lohn'!D38="Holand",'09.September Lohn'!D38="Niderland"),"NL","")))</f>
        <v/>
      </c>
      <c r="C40" s="127">
        <f>'09.September Lohn'!B38</f>
        <v>31</v>
      </c>
      <c r="D40" s="160"/>
      <c r="E40" s="164"/>
      <c r="F40" s="165"/>
      <c r="G40" s="165"/>
      <c r="H40" s="128" t="str">
        <f t="shared" si="0"/>
        <v/>
      </c>
      <c r="I40" s="129" t="str">
        <f>IF(B40="","",(IF(OR(B40="NL",B40="LU"),(LOOKUP((H40&gt;=7.5)*6+(H40&gt;=14)*6+(H40=24)*12,{0;6;12;24},{0;21;40;45})),(LOOKUP((H40&gt;=8)*6+(H40=24)*12,{0;6;12;24},{0;20;40})))))</f>
        <v/>
      </c>
      <c r="J40" s="130"/>
      <c r="K40" s="131" t="str">
        <f t="shared" si="1"/>
        <v/>
      </c>
      <c r="L40" s="132" t="str">
        <f t="shared" si="2"/>
        <v/>
      </c>
    </row>
    <row r="41" spans="2:12" ht="16.5" customHeight="1" x14ac:dyDescent="0.25"/>
    <row r="42" spans="2:12" ht="21" customHeight="1" thickBot="1" x14ac:dyDescent="0.3">
      <c r="C42" s="134" t="s">
        <v>82</v>
      </c>
      <c r="D42" s="134"/>
      <c r="E42" s="135"/>
      <c r="H42" s="136" t="s">
        <v>83</v>
      </c>
      <c r="I42" s="137">
        <f>SUM(I10:I40)</f>
        <v>400</v>
      </c>
      <c r="K42" s="137">
        <f>SUM(K10:K40)</f>
        <v>252</v>
      </c>
      <c r="L42" s="137">
        <f>SUM(L10:L40)</f>
        <v>108</v>
      </c>
    </row>
    <row r="43" spans="2:12" ht="29.25" customHeight="1" thickTop="1" x14ac:dyDescent="0.25">
      <c r="C43" s="138"/>
    </row>
    <row r="44" spans="2:12" ht="11.25" customHeight="1" x14ac:dyDescent="0.25">
      <c r="C44" s="138"/>
    </row>
    <row r="45" spans="2:12" ht="21" customHeight="1" x14ac:dyDescent="0.25"/>
    <row r="46" spans="2:12" ht="81" customHeight="1" x14ac:dyDescent="0.25"/>
  </sheetData>
  <sheetProtection formatCells="0" formatColumns="0" formatRows="0" insertColumns="0" insertRows="0" insertHyperlinks="0" deleteColumns="0" deleteRows="0" sort="0" autoFilter="0" pivotTables="0"/>
  <mergeCells count="2">
    <mergeCell ref="C5:D5"/>
    <mergeCell ref="C7:D7"/>
  </mergeCells>
  <conditionalFormatting sqref="D10:D40">
    <cfRule type="expression" dxfId="9" priority="17">
      <formula>VLOOKUP($B10,$CB$9:$CB$175,1,0)</formula>
    </cfRule>
  </conditionalFormatting>
  <conditionalFormatting sqref="D10:E40">
    <cfRule type="expression" dxfId="8" priority="8">
      <formula>WEEKDAY($B10,2)=6</formula>
    </cfRule>
    <cfRule type="expression" dxfId="7" priority="9">
      <formula>WEEKDAY($B10,2)=7</formula>
    </cfRule>
  </conditionalFormatting>
  <conditionalFormatting sqref="E10:E40">
    <cfRule type="expression" dxfId="6" priority="7">
      <formula>VLOOKUP($B10,$CB$9:$CB$175,1,0)</formula>
    </cfRule>
  </conditionalFormatting>
  <conditionalFormatting sqref="F10:G23 F25:G36 G37 F38:G40">
    <cfRule type="expression" dxfId="5" priority="6">
      <formula>WEEKDAY($B10,2)=7</formula>
    </cfRule>
  </conditionalFormatting>
  <conditionalFormatting sqref="F10:G36">
    <cfRule type="expression" dxfId="4" priority="3">
      <formula>VLOOKUP($B10,$CB$9:$CB$175,1,0)</formula>
    </cfRule>
  </conditionalFormatting>
  <conditionalFormatting sqref="F24:G24">
    <cfRule type="expression" dxfId="3" priority="1">
      <formula>WEEKDAY($B24,2)=6</formula>
    </cfRule>
    <cfRule type="expression" dxfId="2" priority="2">
      <formula>WEEKDAY($B24,2)=7</formula>
    </cfRule>
  </conditionalFormatting>
  <conditionalFormatting sqref="G37 F38:G40 F10:G23 F25:G36">
    <cfRule type="expression" dxfId="1" priority="5">
      <formula>WEEKDAY($B10,2)=6</formula>
    </cfRule>
  </conditionalFormatting>
  <conditionalFormatting sqref="G37 F38:G40">
    <cfRule type="expression" dxfId="0" priority="4">
      <formula>VLOOKUP($B37,$CB$9:$CB$175,1,0)</formula>
    </cfRule>
  </conditionalFormatting>
  <printOptions horizontalCentered="1" verticalCentere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09.September Anlage</vt:lpstr>
      <vt:lpstr>09.September Lohn</vt:lpstr>
      <vt:lpstr>09.September Auslöse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Sinzig,Gerhard</dc:creator>
  <cp:lastModifiedBy>Ozcan</cp:lastModifiedBy>
  <cp:lastPrinted>2022-04-14T10:32:43Z</cp:lastPrinted>
  <dcterms:created xsi:type="dcterms:W3CDTF">2001-12-06T10:21:36Z</dcterms:created>
  <dcterms:modified xsi:type="dcterms:W3CDTF">2026-09-27T14:19:17Z</dcterms:modified>
</cp:coreProperties>
</file>